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Assumptions" sheetId="2" state="visible" r:id="rId4"/>
    <sheet name="Competitor_Benchmark" sheetId="3" state="visible" r:id="rId5"/>
    <sheet name="College_Pipeline" sheetId="4" state="visible" r:id="rId6"/>
    <sheet name="Pipeline_Summary" sheetId="5" state="visible" r:id="rId7"/>
    <sheet name="Outreach_Log" sheetId="6" state="visible" r:id="rId8"/>
    <sheet name="AB_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<sst xmlns="http://schemas.openxmlformats.org/spreadsheetml/2006/main" count="125" uniqueCount="115">
  <si>
    <t xml:space="preserve">College Outreach Engine &amp; Competitor Pricing Study</t>
  </si>
  <si>
    <t xml:space="preserve">Yellow cells with blue text = inputs you edit. Black cells = formulas (do not overwrite).</t>
  </si>
  <si>
    <t xml:space="preserve">Row 5 of Competitor_Benchmark (Asyvyas) comes from asyvyas.in; fill every other row from each company's own public site and cite the URL.</t>
  </si>
  <si>
    <t xml:space="preserve">Example rows in College_Pipeline and Outreach_Log are placeholders - delete or overwrite them.</t>
  </si>
  <si>
    <t xml:space="preserve">Tier-scoring weights are on the 'Assumptions' sheet. Change them there and every priority score updates.</t>
  </si>
  <si>
    <t xml:space="preserve">Only report response rates from real outreach. Do not present the sample CSV in data/ as real results.</t>
  </si>
  <si>
    <t xml:space="preserve">Parameter</t>
  </si>
  <si>
    <t xml:space="preserve">Value</t>
  </si>
  <si>
    <t xml:space="preserve">Note</t>
  </si>
  <si>
    <t xml:space="preserve">Tier-1 weight</t>
  </si>
  <si>
    <t xml:space="preserve">Higher = more attractive prospect (placement-cell reach, brand)</t>
  </si>
  <si>
    <t xml:space="preserve">Tier-2 weight</t>
  </si>
  <si>
    <t xml:space="preserve">Tier-3 weight</t>
  </si>
  <si>
    <t xml:space="preserve">Strength weight per 1,000 students</t>
  </si>
  <si>
    <t xml:space="preserve">Larger colleges = more potential enrolments</t>
  </si>
  <si>
    <t xml:space="preserve">Warm-contact bonus</t>
  </si>
  <si>
    <t xml:space="preserve">Added when we already know someone at the college</t>
  </si>
  <si>
    <t xml:space="preserve">Course price incl. GST (INR)</t>
  </si>
  <si>
    <t xml:space="preserve">Source: asyvyas.in pricing (INR 2,499 + 18% GST)</t>
  </si>
  <si>
    <t xml:space="preserve">Assumed enrolment rate per college pitch (%)</t>
  </si>
  <si>
    <t xml:space="preserve">ASSUMPTION - edit once you have real data</t>
  </si>
  <si>
    <t xml:space="preserve">Assumed students enrolled per converted college</t>
  </si>
  <si>
    <t xml:space="preserve">Company</t>
  </si>
  <si>
    <t xml:space="preserve">Primary audience</t>
  </si>
  <si>
    <t xml:space="preserve">Example course</t>
  </si>
  <si>
    <t xml:space="preserve">Price (INR, incl. GST)</t>
  </si>
  <si>
    <t xml:space="preserve">Delivery format</t>
  </si>
  <si>
    <t xml:space="preserve">Certification</t>
  </si>
  <si>
    <t xml:space="preserve">Placement claim (as stated)</t>
  </si>
  <si>
    <t xml:space="preserve">Claim verifiable? (Y/N)</t>
  </si>
  <si>
    <t xml:space="preserve">Free trial / demo?</t>
  </si>
  <si>
    <t xml:space="preserve">Source URL</t>
  </si>
  <si>
    <t xml:space="preserve">Date checked</t>
  </si>
  <si>
    <t xml:space="preserve">Fill one row per competitor from its own public pages. Leave unknown cells blank, never guess.</t>
  </si>
  <si>
    <t xml:space="preserve">Asyvyas Solutions</t>
  </si>
  <si>
    <t xml:space="preserve">College students / freshers</t>
  </si>
  <si>
    <t xml:space="preserve">AI &amp; ML, Full Stack, Data Analytics, Cloud, VLSI, Core Engineering (16 tracks listed)</t>
  </si>
  <si>
    <t xml:space="preserve">100% live online classes</t>
  </si>
  <si>
    <t xml:space="preserve">ISO-certified (as stated on site)</t>
  </si>
  <si>
    <t xml:space="preserve">303,154+ placed students; 4,870+ partner companies (site claim)</t>
  </si>
  <si>
    <t xml:space="preserve">N</t>
  </si>
  <si>
    <t xml:space="preserve">https://asyvyas.in/</t>
  </si>
  <si>
    <t xml:space="preserve">19-Oct-2026</t>
  </si>
  <si>
    <t xml:space="preserve">NxtWave</t>
  </si>
  <si>
    <t xml:space="preserve">Scaler</t>
  </si>
  <si>
    <t xml:space="preserve">upGrad</t>
  </si>
  <si>
    <t xml:space="preserve">Coursera</t>
  </si>
  <si>
    <t xml:space="preserve">Simplilearn</t>
  </si>
  <si>
    <t xml:space="preserve">PW Skills</t>
  </si>
  <si>
    <t xml:space="preserve">Internshala Trainings</t>
  </si>
  <si>
    <t xml:space="preserve">LearnVern / other local</t>
  </si>
  <si>
    <t xml:space="preserve">Median price of filled competitors (excl. Asyvyas)</t>
  </si>
  <si>
    <t xml:space="preserve">Asyvyas price vs competitor median</t>
  </si>
  <si>
    <t xml:space="preserve">Competitors with unverifiable placement claims</t>
  </si>
  <si>
    <t xml:space="preserve">#</t>
  </si>
  <si>
    <t xml:space="preserve">College / institute</t>
  </si>
  <si>
    <t xml:space="preserve">City</t>
  </si>
  <si>
    <t xml:space="preserve">State</t>
  </si>
  <si>
    <t xml:space="preserve">Tier (1/2/3)</t>
  </si>
  <si>
    <t xml:space="preserve">Student strength</t>
  </si>
  <si>
    <t xml:space="preserve">Warm contact? (Y/N)</t>
  </si>
  <si>
    <t xml:space="preserve">T&amp;P contact name</t>
  </si>
  <si>
    <t xml:space="preserve">Email / LinkedIn</t>
  </si>
  <si>
    <t xml:space="preserve">Stage</t>
  </si>
  <si>
    <t xml:space="preserve">Last touch date</t>
  </si>
  <si>
    <t xml:space="preserve">Priority score</t>
  </si>
  <si>
    <t xml:space="preserve">Priority rank</t>
  </si>
  <si>
    <t xml:space="preserve">Notes</t>
  </si>
  <si>
    <t xml:space="preserve">EXAMPLE - replace with a real college</t>
  </si>
  <si>
    <t xml:space="preserve">Bengaluru</t>
  </si>
  <si>
    <t xml:space="preserve">Karnataka</t>
  </si>
  <si>
    <t xml:space="preserve">Name of T&amp;P officer</t>
  </si>
  <si>
    <t xml:space="preserve">name@college.edu</t>
  </si>
  <si>
    <t xml:space="preserve">Not contacted</t>
  </si>
  <si>
    <t xml:space="preserve">Example row</t>
  </si>
  <si>
    <t xml:space="preserve">Colleges</t>
  </si>
  <si>
    <t xml:space="preserve">% of contacted</t>
  </si>
  <si>
    <t xml:space="preserve">Touch 1 sent</t>
  </si>
  <si>
    <t xml:space="preserve">Touch 2 sent</t>
  </si>
  <si>
    <t xml:space="preserve">Touch 3 sent</t>
  </si>
  <si>
    <t xml:space="preserve">Replied</t>
  </si>
  <si>
    <t xml:space="preserve">Meeting booked</t>
  </si>
  <si>
    <t xml:space="preserve">Pitched</t>
  </si>
  <si>
    <t xml:space="preserve">Pilot / drive agreed</t>
  </si>
  <si>
    <t xml:space="preserve">Closed - lost</t>
  </si>
  <si>
    <t xml:space="preserve">Total colleges listed</t>
  </si>
  <si>
    <t xml:space="preserve">Reply rate (replied or beyond / contacted)</t>
  </si>
  <si>
    <t xml:space="preserve">Illustrative revenue potential (uses Assumptions sheet - ASSUMPTIONS, not forecasts)</t>
  </si>
  <si>
    <t xml:space="preserve">Expected converted colleges</t>
  </si>
  <si>
    <t xml:space="preserve">Expected enrolments</t>
  </si>
  <si>
    <t xml:space="preserve">Expected revenue (INR)</t>
  </si>
  <si>
    <t xml:space="preserve">Send #</t>
  </si>
  <si>
    <t xml:space="preserve">College</t>
  </si>
  <si>
    <t xml:space="preserve">Contact</t>
  </si>
  <si>
    <t xml:space="preserve">Channel (Email/LinkedIn/WhatsApp)</t>
  </si>
  <si>
    <t xml:space="preserve">Variant (A/B)</t>
  </si>
  <si>
    <t xml:space="preserve">Date sent</t>
  </si>
  <si>
    <t xml:space="preserve">Replied (Y/N)</t>
  </si>
  <si>
    <t xml:space="preserve">Meeting booked (Y/N)</t>
  </si>
  <si>
    <t xml:space="preserve">Email</t>
  </si>
  <si>
    <t xml:space="preserve">A</t>
  </si>
  <si>
    <t xml:space="preserve">Metric</t>
  </si>
  <si>
    <t xml:space="preserve">Variant A</t>
  </si>
  <si>
    <t xml:space="preserve">Variant B</t>
  </si>
  <si>
    <t xml:space="preserve">Messages sent</t>
  </si>
  <si>
    <t xml:space="preserve">Replies</t>
  </si>
  <si>
    <t xml:space="preserve">Reply rate</t>
  </si>
  <si>
    <t xml:space="preserve">Meetings booked</t>
  </si>
  <si>
    <t xml:space="preserve">Meeting rate</t>
  </si>
  <si>
    <t xml:space="preserve">Two-proportion z-test on reply rate (A vs B)</t>
  </si>
  <si>
    <t xml:space="preserve">Pooled reply rate</t>
  </si>
  <si>
    <t xml:space="preserve">z statistic</t>
  </si>
  <si>
    <t xml:space="preserve">p-value (two-sided)</t>
  </si>
  <si>
    <t xml:space="preserve">Read-out</t>
  </si>
  <si>
    <t xml:space="preserve">Note: with fewer than ~30 sends per variant the test has very little power; report this honestly.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</si>
</sst>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2" t="s">
        <v>9</v>
      </c>
      <c r="B2" s="4" t="n">
        <v>3</v>
      </c>
      <c r="C2" s="2" t="s">
        <v>10</v>
      </c>
    </row>
    <row r="3" customFormat="false" ht="15" hidden="false" customHeight="false" outlineLevel="0" collapsed="false">
      <c r="A3" s="2" t="s">
        <v>11</v>
      </c>
      <c r="B3" s="4" t="n">
        <v>2</v>
      </c>
      <c r="C3" s="2"/>
    </row>
    <row r="4" customFormat="false" ht="15" hidden="false" customHeight="false" outlineLevel="0" collapsed="false">
      <c r="A4" s="2" t="s">
        <v>12</v>
      </c>
      <c r="B4" s="4" t="n">
        <v>1</v>
      </c>
      <c r="C4" s="2"/>
    </row>
    <row r="5" customFormat="false" ht="15" hidden="false" customHeight="false" outlineLevel="0" collapsed="false">
      <c r="A5" s="2" t="s">
        <v>13</v>
      </c>
      <c r="B5" s="4" t="n">
        <v>1</v>
      </c>
      <c r="C5" s="2" t="s">
        <v>14</v>
      </c>
    </row>
    <row r="6" customFormat="false" ht="15" hidden="false" customHeight="false" outlineLevel="0" collapsed="false">
      <c r="A6" s="2" t="s">
        <v>15</v>
      </c>
      <c r="B6" s="4" t="n">
        <v>2</v>
      </c>
      <c r="C6" s="2" t="s">
        <v>16</v>
      </c>
    </row>
    <row r="7" customFormat="false" ht="15" hidden="false" customHeight="false" outlineLevel="0" collapsed="false">
      <c r="A7" s="2" t="s">
        <v>17</v>
      </c>
      <c r="B7" s="4" t="n">
        <v>2949</v>
      </c>
      <c r="C7" s="2" t="s">
        <v>18</v>
      </c>
    </row>
    <row r="8" customFormat="false" ht="15" hidden="false" customHeight="false" outlineLevel="0" collapsed="false">
      <c r="A8" s="2" t="s">
        <v>19</v>
      </c>
      <c r="B8" s="4" t="n">
        <v>5</v>
      </c>
      <c r="C8" s="2" t="s">
        <v>20</v>
      </c>
    </row>
    <row r="9" customFormat="false" ht="15" hidden="false" customHeight="false" outlineLevel="0" collapsed="false">
      <c r="A9" s="2" t="s">
        <v>21</v>
      </c>
      <c r="B9" s="4" t="n">
        <v>20</v>
      </c>
      <c r="C9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22"/>
    <col collapsed="false" customWidth="true" hidden="false" outlineLevel="0" max="7" min="7" style="0" width="34"/>
    <col collapsed="false" customWidth="true" hidden="false" outlineLevel="0" max="9" min="8" style="0" width="14"/>
    <col collapsed="false" customWidth="true" hidden="false" outlineLevel="0" max="10" min="10" style="0" width="30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customFormat="false" ht="15" hidden="false" customHeight="false" outlineLevel="0" collapsed="false">
      <c r="A2" s="5" t="s">
        <v>33</v>
      </c>
    </row>
    <row r="4" customFormat="false" ht="35.05" hidden="false" customHeight="false" outlineLevel="0" collapsed="false">
      <c r="A4" s="6" t="s">
        <v>34</v>
      </c>
      <c r="B4" s="7" t="s">
        <v>35</v>
      </c>
      <c r="C4" s="8" t="s">
        <v>36</v>
      </c>
      <c r="D4" s="9" t="n">
        <v>2949</v>
      </c>
      <c r="E4" s="7" t="s">
        <v>37</v>
      </c>
      <c r="F4" s="7" t="s">
        <v>38</v>
      </c>
      <c r="G4" s="8" t="s">
        <v>39</v>
      </c>
      <c r="H4" s="7" t="s">
        <v>40</v>
      </c>
      <c r="I4" s="7"/>
      <c r="J4" s="7" t="s">
        <v>41</v>
      </c>
      <c r="K4" s="7" t="s">
        <v>42</v>
      </c>
    </row>
    <row r="5" customFormat="false" ht="15" hidden="false" customHeight="false" outlineLevel="0" collapsed="false">
      <c r="A5" s="6" t="s">
        <v>43</v>
      </c>
      <c r="B5" s="7"/>
      <c r="C5" s="8"/>
      <c r="D5" s="7"/>
      <c r="E5" s="7"/>
      <c r="F5" s="7"/>
      <c r="G5" s="8"/>
      <c r="H5" s="7"/>
      <c r="I5" s="7"/>
      <c r="J5" s="7"/>
      <c r="K5" s="7"/>
    </row>
    <row r="6" customFormat="false" ht="15" hidden="false" customHeight="false" outlineLevel="0" collapsed="false">
      <c r="A6" s="6" t="s">
        <v>44</v>
      </c>
      <c r="B6" s="7"/>
      <c r="C6" s="8"/>
      <c r="D6" s="7"/>
      <c r="E6" s="7"/>
      <c r="F6" s="7"/>
      <c r="G6" s="8"/>
      <c r="H6" s="7"/>
      <c r="I6" s="7"/>
      <c r="J6" s="7"/>
      <c r="K6" s="7"/>
    </row>
    <row r="7" customFormat="false" ht="15" hidden="false" customHeight="false" outlineLevel="0" collapsed="false">
      <c r="A7" s="6" t="s">
        <v>45</v>
      </c>
      <c r="B7" s="7"/>
      <c r="C7" s="8"/>
      <c r="D7" s="7"/>
      <c r="E7" s="7"/>
      <c r="F7" s="7"/>
      <c r="G7" s="8"/>
      <c r="H7" s="7"/>
      <c r="I7" s="7"/>
      <c r="J7" s="7"/>
      <c r="K7" s="7"/>
    </row>
    <row r="8" customFormat="false" ht="15" hidden="false" customHeight="false" outlineLevel="0" collapsed="false">
      <c r="A8" s="6" t="s">
        <v>46</v>
      </c>
      <c r="B8" s="7"/>
      <c r="C8" s="8"/>
      <c r="D8" s="7"/>
      <c r="E8" s="7"/>
      <c r="F8" s="7"/>
      <c r="G8" s="8"/>
      <c r="H8" s="7"/>
      <c r="I8" s="7"/>
      <c r="J8" s="7"/>
      <c r="K8" s="7"/>
    </row>
    <row r="9" customFormat="false" ht="15" hidden="false" customHeight="false" outlineLevel="0" collapsed="false">
      <c r="A9" s="6" t="s">
        <v>47</v>
      </c>
      <c r="B9" s="7"/>
      <c r="C9" s="8"/>
      <c r="D9" s="7"/>
      <c r="E9" s="7"/>
      <c r="F9" s="7"/>
      <c r="G9" s="8"/>
      <c r="H9" s="7"/>
      <c r="I9" s="7"/>
      <c r="J9" s="7"/>
      <c r="K9" s="7"/>
    </row>
    <row r="10" customFormat="false" ht="15" hidden="false" customHeight="false" outlineLevel="0" collapsed="false">
      <c r="A10" s="6" t="s">
        <v>48</v>
      </c>
      <c r="B10" s="7"/>
      <c r="C10" s="8"/>
      <c r="D10" s="7"/>
      <c r="E10" s="7"/>
      <c r="F10" s="7"/>
      <c r="G10" s="8"/>
      <c r="H10" s="7"/>
      <c r="I10" s="7"/>
      <c r="J10" s="7"/>
      <c r="K10" s="7"/>
    </row>
    <row r="11" customFormat="false" ht="15" hidden="false" customHeight="false" outlineLevel="0" collapsed="false">
      <c r="A11" s="6" t="s">
        <v>49</v>
      </c>
      <c r="B11" s="7"/>
      <c r="C11" s="8"/>
      <c r="D11" s="7"/>
      <c r="E11" s="7"/>
      <c r="F11" s="7"/>
      <c r="G11" s="8"/>
      <c r="H11" s="7"/>
      <c r="I11" s="7"/>
      <c r="J11" s="7"/>
      <c r="K11" s="7"/>
    </row>
    <row r="12" customFormat="false" ht="15" hidden="false" customHeight="false" outlineLevel="0" collapsed="false">
      <c r="A12" s="6" t="s">
        <v>50</v>
      </c>
      <c r="B12" s="7"/>
      <c r="C12" s="8"/>
      <c r="D12" s="7"/>
      <c r="E12" s="7"/>
      <c r="F12" s="7"/>
      <c r="G12" s="8"/>
      <c r="H12" s="7"/>
      <c r="I12" s="7"/>
      <c r="J12" s="7"/>
      <c r="K12" s="7"/>
    </row>
    <row r="15" customFormat="false" ht="15" hidden="false" customHeight="false" outlineLevel="0" collapsed="false">
      <c r="A15" s="6" t="s">
        <v>51</v>
      </c>
      <c r="D15" s="2" t="str">
        <f aca="false">IF(COUNT(D5:D12)=0,"",MEDIAN(D5:D12))</f>
        <v/>
      </c>
    </row>
    <row r="16" customFormat="false" ht="15" hidden="false" customHeight="false" outlineLevel="0" collapsed="false">
      <c r="A16" s="6" t="s">
        <v>52</v>
      </c>
      <c r="D16" s="10" t="str">
        <f aca="false">IF(OR(D15="",D4=""),"",D4/D15-1)</f>
        <v/>
      </c>
    </row>
    <row r="17" customFormat="false" ht="15" hidden="false" customHeight="false" outlineLevel="0" collapsed="false">
      <c r="A17" s="6" t="s">
        <v>53</v>
      </c>
      <c r="D17" s="2" t="n">
        <f aca="false">COUNTIF(H5:H12,"N")</f>
        <v>0</v>
      </c>
    </row>
  </sheetData>
  <dataValidations count="1">
    <dataValidation allowBlank="true" errorStyle="stop" operator="between" showDropDown="false" showErrorMessage="false" showInputMessage="false" sqref="H4:H1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</row>
    <row r="2" customFormat="false" ht="15" hidden="false" customHeight="false" outlineLevel="0" collapsed="false">
      <c r="A2" s="2" t="n">
        <v>1</v>
      </c>
      <c r="B2" s="7" t="s">
        <v>68</v>
      </c>
      <c r="C2" s="7" t="s">
        <v>69</v>
      </c>
      <c r="D2" s="7" t="s">
        <v>70</v>
      </c>
      <c r="E2" s="7" t="n">
        <v>2</v>
      </c>
      <c r="F2" s="7" t="n">
        <v>3000</v>
      </c>
      <c r="G2" s="7" t="s">
        <v>40</v>
      </c>
      <c r="H2" s="7" t="s">
        <v>71</v>
      </c>
      <c r="I2" s="7" t="s">
        <v>72</v>
      </c>
      <c r="J2" s="7" t="s">
        <v>73</v>
      </c>
      <c r="K2" s="7"/>
      <c r="L2" s="11" t="n">
        <f aca="false">IF(OR(B2="",E2=""),"",INDEX(Assumptions!$B$2:$B$4,E2)+Assumptions!$B$5*F2/1000+IF(G2="Y",Assumptions!$B$6,0))</f>
        <v>5</v>
      </c>
      <c r="M2" s="2" t="n">
        <f aca="false">IF(L2="","",RANK(L2,$L$2:$L$101))</f>
        <v>1</v>
      </c>
      <c r="N2" s="7" t="s">
        <v>74</v>
      </c>
    </row>
    <row r="3" customFormat="false" ht="15" hidden="false" customHeight="false" outlineLevel="0" collapsed="false">
      <c r="A3" s="2" t="n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11" t="str">
        <f aca="false">IF(OR(B3="",E3=""),"",INDEX(Assumptions!$B$2:$B$4,E3)+Assumptions!$B$5*F3/1000+IF(G3="Y",Assumptions!$B$6,0))</f>
        <v/>
      </c>
      <c r="M3" s="2" t="str">
        <f aca="false">IF(L3="","",RANK(L3,$L$2:$L$101))</f>
        <v/>
      </c>
      <c r="N3" s="7"/>
    </row>
    <row r="4" customFormat="false" ht="15" hidden="false" customHeight="false" outlineLevel="0" collapsed="false">
      <c r="A4" s="2" t="n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11" t="str">
        <f aca="false">IF(OR(B4="",E4=""),"",INDEX(Assumptions!$B$2:$B$4,E4)+Assumptions!$B$5*F4/1000+IF(G4="Y",Assumptions!$B$6,0))</f>
        <v/>
      </c>
      <c r="M4" s="2" t="str">
        <f aca="false">IF(L4="","",RANK(L4,$L$2:$L$101))</f>
        <v/>
      </c>
      <c r="N4" s="7"/>
    </row>
    <row r="5" customFormat="false" ht="15" hidden="false" customHeight="false" outlineLevel="0" collapsed="false">
      <c r="A5" s="2" t="n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11" t="str">
        <f aca="false">IF(OR(B5="",E5=""),"",INDEX(Assumptions!$B$2:$B$4,E5)+Assumptions!$B$5*F5/1000+IF(G5="Y",Assumptions!$B$6,0))</f>
        <v/>
      </c>
      <c r="M5" s="2" t="str">
        <f aca="false">IF(L5="","",RANK(L5,$L$2:$L$101))</f>
        <v/>
      </c>
      <c r="N5" s="7"/>
    </row>
    <row r="6" customFormat="false" ht="15" hidden="false" customHeight="false" outlineLevel="0" collapsed="false">
      <c r="A6" s="2" t="n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11" t="str">
        <f aca="false">IF(OR(B6="",E6=""),"",INDEX(Assumptions!$B$2:$B$4,E6)+Assumptions!$B$5*F6/1000+IF(G6="Y",Assumptions!$B$6,0))</f>
        <v/>
      </c>
      <c r="M6" s="2" t="str">
        <f aca="false">IF(L6="","",RANK(L6,$L$2:$L$101))</f>
        <v/>
      </c>
      <c r="N6" s="7"/>
    </row>
    <row r="7" customFormat="false" ht="15" hidden="false" customHeight="false" outlineLevel="0" collapsed="false">
      <c r="A7" s="2" t="n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11" t="str">
        <f aca="false">IF(OR(B7="",E7=""),"",INDEX(Assumptions!$B$2:$B$4,E7)+Assumptions!$B$5*F7/1000+IF(G7="Y",Assumptions!$B$6,0))</f>
        <v/>
      </c>
      <c r="M7" s="2" t="str">
        <f aca="false">IF(L7="","",RANK(L7,$L$2:$L$101))</f>
        <v/>
      </c>
      <c r="N7" s="7"/>
    </row>
    <row r="8" customFormat="false" ht="15" hidden="false" customHeight="false" outlineLevel="0" collapsed="false">
      <c r="A8" s="2" t="n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11" t="str">
        <f aca="false">IF(OR(B8="",E8=""),"",INDEX(Assumptions!$B$2:$B$4,E8)+Assumptions!$B$5*F8/1000+IF(G8="Y",Assumptions!$B$6,0))</f>
        <v/>
      </c>
      <c r="M8" s="2" t="str">
        <f aca="false">IF(L8="","",RANK(L8,$L$2:$L$101))</f>
        <v/>
      </c>
      <c r="N8" s="7"/>
    </row>
    <row r="9" customFormat="false" ht="15" hidden="false" customHeight="false" outlineLevel="0" collapsed="false">
      <c r="A9" s="2" t="n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11" t="str">
        <f aca="false">IF(OR(B9="",E9=""),"",INDEX(Assumptions!$B$2:$B$4,E9)+Assumptions!$B$5*F9/1000+IF(G9="Y",Assumptions!$B$6,0))</f>
        <v/>
      </c>
      <c r="M9" s="2" t="str">
        <f aca="false">IF(L9="","",RANK(L9,$L$2:$L$101))</f>
        <v/>
      </c>
      <c r="N9" s="7"/>
    </row>
    <row r="10" customFormat="false" ht="15" hidden="false" customHeight="false" outlineLevel="0" collapsed="false">
      <c r="A10" s="2" t="n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11" t="str">
        <f aca="false">IF(OR(B10="",E10=""),"",INDEX(Assumptions!$B$2:$B$4,E10)+Assumptions!$B$5*F10/1000+IF(G10="Y",Assumptions!$B$6,0))</f>
        <v/>
      </c>
      <c r="M10" s="2" t="str">
        <f aca="false">IF(L10="","",RANK(L10,$L$2:$L$101))</f>
        <v/>
      </c>
      <c r="N10" s="7"/>
    </row>
    <row r="11" customFormat="false" ht="15" hidden="false" customHeight="false" outlineLevel="0" collapsed="false">
      <c r="A11" s="2" t="n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1" t="str">
        <f aca="false">IF(OR(B11="",E11=""),"",INDEX(Assumptions!$B$2:$B$4,E11)+Assumptions!$B$5*F11/1000+IF(G11="Y",Assumptions!$B$6,0))</f>
        <v/>
      </c>
      <c r="M11" s="2" t="str">
        <f aca="false">IF(L11="","",RANK(L11,$L$2:$L$101))</f>
        <v/>
      </c>
      <c r="N11" s="7"/>
    </row>
    <row r="12" customFormat="false" ht="15" hidden="false" customHeight="false" outlineLevel="0" collapsed="false">
      <c r="A12" s="2" t="n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11" t="str">
        <f aca="false">IF(OR(B12="",E12=""),"",INDEX(Assumptions!$B$2:$B$4,E12)+Assumptions!$B$5*F12/1000+IF(G12="Y",Assumptions!$B$6,0))</f>
        <v/>
      </c>
      <c r="M12" s="2" t="str">
        <f aca="false">IF(L12="","",RANK(L12,$L$2:$L$101))</f>
        <v/>
      </c>
      <c r="N12" s="7"/>
    </row>
    <row r="13" customFormat="false" ht="15" hidden="false" customHeight="false" outlineLevel="0" collapsed="false">
      <c r="A13" s="2" t="n">
        <v>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11" t="str">
        <f aca="false">IF(OR(B13="",E13=""),"",INDEX(Assumptions!$B$2:$B$4,E13)+Assumptions!$B$5*F13/1000+IF(G13="Y",Assumptions!$B$6,0))</f>
        <v/>
      </c>
      <c r="M13" s="2" t="str">
        <f aca="false">IF(L13="","",RANK(L13,$L$2:$L$101))</f>
        <v/>
      </c>
      <c r="N13" s="7"/>
    </row>
    <row r="14" customFormat="false" ht="15" hidden="false" customHeight="false" outlineLevel="0" collapsed="false">
      <c r="A14" s="2" t="n">
        <v>13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11" t="str">
        <f aca="false">IF(OR(B14="",E14=""),"",INDEX(Assumptions!$B$2:$B$4,E14)+Assumptions!$B$5*F14/1000+IF(G14="Y",Assumptions!$B$6,0))</f>
        <v/>
      </c>
      <c r="M14" s="2" t="str">
        <f aca="false">IF(L14="","",RANK(L14,$L$2:$L$101))</f>
        <v/>
      </c>
      <c r="N14" s="7"/>
    </row>
    <row r="15" customFormat="false" ht="15" hidden="false" customHeight="false" outlineLevel="0" collapsed="false">
      <c r="A15" s="2" t="n">
        <v>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11" t="str">
        <f aca="false">IF(OR(B15="",E15=""),"",INDEX(Assumptions!$B$2:$B$4,E15)+Assumptions!$B$5*F15/1000+IF(G15="Y",Assumptions!$B$6,0))</f>
        <v/>
      </c>
      <c r="M15" s="2" t="str">
        <f aca="false">IF(L15="","",RANK(L15,$L$2:$L$101))</f>
        <v/>
      </c>
      <c r="N15" s="7"/>
    </row>
    <row r="16" customFormat="false" ht="15" hidden="false" customHeight="false" outlineLevel="0" collapsed="false">
      <c r="A16" s="2" t="n">
        <v>15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11" t="str">
        <f aca="false">IF(OR(B16="",E16=""),"",INDEX(Assumptions!$B$2:$B$4,E16)+Assumptions!$B$5*F16/1000+IF(G16="Y",Assumptions!$B$6,0))</f>
        <v/>
      </c>
      <c r="M16" s="2" t="str">
        <f aca="false">IF(L16="","",RANK(L16,$L$2:$L$101))</f>
        <v/>
      </c>
      <c r="N16" s="7"/>
    </row>
    <row r="17" customFormat="false" ht="15" hidden="false" customHeight="false" outlineLevel="0" collapsed="false">
      <c r="A17" s="2" t="n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11" t="str">
        <f aca="false">IF(OR(B17="",E17=""),"",INDEX(Assumptions!$B$2:$B$4,E17)+Assumptions!$B$5*F17/1000+IF(G17="Y",Assumptions!$B$6,0))</f>
        <v/>
      </c>
      <c r="M17" s="2" t="str">
        <f aca="false">IF(L17="","",RANK(L17,$L$2:$L$101))</f>
        <v/>
      </c>
      <c r="N17" s="7"/>
    </row>
    <row r="18" customFormat="false" ht="15" hidden="false" customHeight="false" outlineLevel="0" collapsed="false">
      <c r="A18" s="2" t="n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11" t="str">
        <f aca="false">IF(OR(B18="",E18=""),"",INDEX(Assumptions!$B$2:$B$4,E18)+Assumptions!$B$5*F18/1000+IF(G18="Y",Assumptions!$B$6,0))</f>
        <v/>
      </c>
      <c r="M18" s="2" t="str">
        <f aca="false">IF(L18="","",RANK(L18,$L$2:$L$101))</f>
        <v/>
      </c>
      <c r="N18" s="7"/>
    </row>
    <row r="19" customFormat="false" ht="15" hidden="false" customHeight="false" outlineLevel="0" collapsed="false">
      <c r="A19" s="2" t="n">
        <v>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11" t="str">
        <f aca="false">IF(OR(B19="",E19=""),"",INDEX(Assumptions!$B$2:$B$4,E19)+Assumptions!$B$5*F19/1000+IF(G19="Y",Assumptions!$B$6,0))</f>
        <v/>
      </c>
      <c r="M19" s="2" t="str">
        <f aca="false">IF(L19="","",RANK(L19,$L$2:$L$101))</f>
        <v/>
      </c>
      <c r="N19" s="7"/>
    </row>
    <row r="20" customFormat="false" ht="15" hidden="false" customHeight="false" outlineLevel="0" collapsed="false">
      <c r="A20" s="2" t="n">
        <v>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11" t="str">
        <f aca="false">IF(OR(B20="",E20=""),"",INDEX(Assumptions!$B$2:$B$4,E20)+Assumptions!$B$5*F20/1000+IF(G20="Y",Assumptions!$B$6,0))</f>
        <v/>
      </c>
      <c r="M20" s="2" t="str">
        <f aca="false">IF(L20="","",RANK(L20,$L$2:$L$101))</f>
        <v/>
      </c>
      <c r="N20" s="7"/>
    </row>
    <row r="21" customFormat="false" ht="15" hidden="false" customHeight="false" outlineLevel="0" collapsed="false">
      <c r="A21" s="2" t="n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11" t="str">
        <f aca="false">IF(OR(B21="",E21=""),"",INDEX(Assumptions!$B$2:$B$4,E21)+Assumptions!$B$5*F21/1000+IF(G21="Y",Assumptions!$B$6,0))</f>
        <v/>
      </c>
      <c r="M21" s="2" t="str">
        <f aca="false">IF(L21="","",RANK(L21,$L$2:$L$101))</f>
        <v/>
      </c>
      <c r="N21" s="7"/>
    </row>
    <row r="22" customFormat="false" ht="15" hidden="false" customHeight="false" outlineLevel="0" collapsed="false">
      <c r="A22" s="2" t="n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1" t="str">
        <f aca="false">IF(OR(B22="",E22=""),"",INDEX(Assumptions!$B$2:$B$4,E22)+Assumptions!$B$5*F22/1000+IF(G22="Y",Assumptions!$B$6,0))</f>
        <v/>
      </c>
      <c r="M22" s="2" t="str">
        <f aca="false">IF(L22="","",RANK(L22,$L$2:$L$101))</f>
        <v/>
      </c>
      <c r="N22" s="7"/>
    </row>
    <row r="23" customFormat="false" ht="15" hidden="false" customHeight="false" outlineLevel="0" collapsed="false">
      <c r="A23" s="2" t="n">
        <v>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11" t="str">
        <f aca="false">IF(OR(B23="",E23=""),"",INDEX(Assumptions!$B$2:$B$4,E23)+Assumptions!$B$5*F23/1000+IF(G23="Y",Assumptions!$B$6,0))</f>
        <v/>
      </c>
      <c r="M23" s="2" t="str">
        <f aca="false">IF(L23="","",RANK(L23,$L$2:$L$101))</f>
        <v/>
      </c>
      <c r="N23" s="7"/>
    </row>
    <row r="24" customFormat="false" ht="15" hidden="false" customHeight="false" outlineLevel="0" collapsed="false">
      <c r="A24" s="2" t="n">
        <v>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11" t="str">
        <f aca="false">IF(OR(B24="",E24=""),"",INDEX(Assumptions!$B$2:$B$4,E24)+Assumptions!$B$5*F24/1000+IF(G24="Y",Assumptions!$B$6,0))</f>
        <v/>
      </c>
      <c r="M24" s="2" t="str">
        <f aca="false">IF(L24="","",RANK(L24,$L$2:$L$101))</f>
        <v/>
      </c>
      <c r="N24" s="7"/>
    </row>
    <row r="25" customFormat="false" ht="15" hidden="false" customHeight="false" outlineLevel="0" collapsed="false">
      <c r="A25" s="2" t="n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11" t="str">
        <f aca="false">IF(OR(B25="",E25=""),"",INDEX(Assumptions!$B$2:$B$4,E25)+Assumptions!$B$5*F25/1000+IF(G25="Y",Assumptions!$B$6,0))</f>
        <v/>
      </c>
      <c r="M25" s="2" t="str">
        <f aca="false">IF(L25="","",RANK(L25,$L$2:$L$101))</f>
        <v/>
      </c>
      <c r="N25" s="7"/>
    </row>
    <row r="26" customFormat="false" ht="15" hidden="false" customHeight="false" outlineLevel="0" collapsed="false">
      <c r="A26" s="2" t="n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11" t="str">
        <f aca="false">IF(OR(B26="",E26=""),"",INDEX(Assumptions!$B$2:$B$4,E26)+Assumptions!$B$5*F26/1000+IF(G26="Y",Assumptions!$B$6,0))</f>
        <v/>
      </c>
      <c r="M26" s="2" t="str">
        <f aca="false">IF(L26="","",RANK(L26,$L$2:$L$101))</f>
        <v/>
      </c>
      <c r="N26" s="7"/>
    </row>
    <row r="27" customFormat="false" ht="15" hidden="false" customHeight="false" outlineLevel="0" collapsed="false">
      <c r="A27" s="2" t="n">
        <v>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11" t="str">
        <f aca="false">IF(OR(B27="",E27=""),"",INDEX(Assumptions!$B$2:$B$4,E27)+Assumptions!$B$5*F27/1000+IF(G27="Y",Assumptions!$B$6,0))</f>
        <v/>
      </c>
      <c r="M27" s="2" t="str">
        <f aca="false">IF(L27="","",RANK(L27,$L$2:$L$101))</f>
        <v/>
      </c>
      <c r="N27" s="7"/>
    </row>
    <row r="28" customFormat="false" ht="15" hidden="false" customHeight="false" outlineLevel="0" collapsed="false">
      <c r="A28" s="2" t="n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11" t="str">
        <f aca="false">IF(OR(B28="",E28=""),"",INDEX(Assumptions!$B$2:$B$4,E28)+Assumptions!$B$5*F28/1000+IF(G28="Y",Assumptions!$B$6,0))</f>
        <v/>
      </c>
      <c r="M28" s="2" t="str">
        <f aca="false">IF(L28="","",RANK(L28,$L$2:$L$101))</f>
        <v/>
      </c>
      <c r="N28" s="7"/>
    </row>
    <row r="29" customFormat="false" ht="15" hidden="false" customHeight="false" outlineLevel="0" collapsed="false">
      <c r="A29" s="2" t="n">
        <v>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11" t="str">
        <f aca="false">IF(OR(B29="",E29=""),"",INDEX(Assumptions!$B$2:$B$4,E29)+Assumptions!$B$5*F29/1000+IF(G29="Y",Assumptions!$B$6,0))</f>
        <v/>
      </c>
      <c r="M29" s="2" t="str">
        <f aca="false">IF(L29="","",RANK(L29,$L$2:$L$101))</f>
        <v/>
      </c>
      <c r="N29" s="7"/>
    </row>
    <row r="30" customFormat="false" ht="15" hidden="false" customHeight="false" outlineLevel="0" collapsed="false">
      <c r="A30" s="2" t="n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11" t="str">
        <f aca="false">IF(OR(B30="",E30=""),"",INDEX(Assumptions!$B$2:$B$4,E30)+Assumptions!$B$5*F30/1000+IF(G30="Y",Assumptions!$B$6,0))</f>
        <v/>
      </c>
      <c r="M30" s="2" t="str">
        <f aca="false">IF(L30="","",RANK(L30,$L$2:$L$101))</f>
        <v/>
      </c>
      <c r="N30" s="7"/>
    </row>
    <row r="31" customFormat="false" ht="15" hidden="false" customHeight="false" outlineLevel="0" collapsed="false">
      <c r="A31" s="2" t="n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11" t="str">
        <f aca="false">IF(OR(B31="",E31=""),"",INDEX(Assumptions!$B$2:$B$4,E31)+Assumptions!$B$5*F31/1000+IF(G31="Y",Assumptions!$B$6,0))</f>
        <v/>
      </c>
      <c r="M31" s="2" t="str">
        <f aca="false">IF(L31="","",RANK(L31,$L$2:$L$101))</f>
        <v/>
      </c>
      <c r="N31" s="7"/>
    </row>
    <row r="32" customFormat="false" ht="15" hidden="false" customHeight="false" outlineLevel="0" collapsed="false">
      <c r="A32" s="2" t="n">
        <v>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11" t="str">
        <f aca="false">IF(OR(B32="",E32=""),"",INDEX(Assumptions!$B$2:$B$4,E32)+Assumptions!$B$5*F32/1000+IF(G32="Y",Assumptions!$B$6,0))</f>
        <v/>
      </c>
      <c r="M32" s="2" t="str">
        <f aca="false">IF(L32="","",RANK(L32,$L$2:$L$101))</f>
        <v/>
      </c>
      <c r="N32" s="7"/>
    </row>
    <row r="33" customFormat="false" ht="15" hidden="false" customHeight="false" outlineLevel="0" collapsed="false">
      <c r="A33" s="2" t="n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1" t="str">
        <f aca="false">IF(OR(B33="",E33=""),"",INDEX(Assumptions!$B$2:$B$4,E33)+Assumptions!$B$5*F33/1000+IF(G33="Y",Assumptions!$B$6,0))</f>
        <v/>
      </c>
      <c r="M33" s="2" t="str">
        <f aca="false">IF(L33="","",RANK(L33,$L$2:$L$101))</f>
        <v/>
      </c>
      <c r="N33" s="7"/>
    </row>
    <row r="34" customFormat="false" ht="15" hidden="false" customHeight="false" outlineLevel="0" collapsed="false">
      <c r="A34" s="2" t="n">
        <v>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11" t="str">
        <f aca="false">IF(OR(B34="",E34=""),"",INDEX(Assumptions!$B$2:$B$4,E34)+Assumptions!$B$5*F34/1000+IF(G34="Y",Assumptions!$B$6,0))</f>
        <v/>
      </c>
      <c r="M34" s="2" t="str">
        <f aca="false">IF(L34="","",RANK(L34,$L$2:$L$101))</f>
        <v/>
      </c>
      <c r="N34" s="7"/>
    </row>
    <row r="35" customFormat="false" ht="15" hidden="false" customHeight="false" outlineLevel="0" collapsed="false">
      <c r="A35" s="2" t="n">
        <v>34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11" t="str">
        <f aca="false">IF(OR(B35="",E35=""),"",INDEX(Assumptions!$B$2:$B$4,E35)+Assumptions!$B$5*F35/1000+IF(G35="Y",Assumptions!$B$6,0))</f>
        <v/>
      </c>
      <c r="M35" s="2" t="str">
        <f aca="false">IF(L35="","",RANK(L35,$L$2:$L$101))</f>
        <v/>
      </c>
      <c r="N35" s="7"/>
    </row>
    <row r="36" customFormat="false" ht="15" hidden="false" customHeight="false" outlineLevel="0" collapsed="false">
      <c r="A36" s="2" t="n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11" t="str">
        <f aca="false">IF(OR(B36="",E36=""),"",INDEX(Assumptions!$B$2:$B$4,E36)+Assumptions!$B$5*F36/1000+IF(G36="Y",Assumptions!$B$6,0))</f>
        <v/>
      </c>
      <c r="M36" s="2" t="str">
        <f aca="false">IF(L36="","",RANK(L36,$L$2:$L$101))</f>
        <v/>
      </c>
      <c r="N36" s="7"/>
    </row>
    <row r="37" customFormat="false" ht="15" hidden="false" customHeight="false" outlineLevel="0" collapsed="false">
      <c r="A37" s="2" t="n">
        <v>36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11" t="str">
        <f aca="false">IF(OR(B37="",E37=""),"",INDEX(Assumptions!$B$2:$B$4,E37)+Assumptions!$B$5*F37/1000+IF(G37="Y",Assumptions!$B$6,0))</f>
        <v/>
      </c>
      <c r="M37" s="2" t="str">
        <f aca="false">IF(L37="","",RANK(L37,$L$2:$L$101))</f>
        <v/>
      </c>
      <c r="N37" s="7"/>
    </row>
    <row r="38" customFormat="false" ht="15" hidden="false" customHeight="false" outlineLevel="0" collapsed="false">
      <c r="A38" s="2" t="n">
        <v>37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11" t="str">
        <f aca="false">IF(OR(B38="",E38=""),"",INDEX(Assumptions!$B$2:$B$4,E38)+Assumptions!$B$5*F38/1000+IF(G38="Y",Assumptions!$B$6,0))</f>
        <v/>
      </c>
      <c r="M38" s="2" t="str">
        <f aca="false">IF(L38="","",RANK(L38,$L$2:$L$101))</f>
        <v/>
      </c>
      <c r="N38" s="7"/>
    </row>
    <row r="39" customFormat="false" ht="15" hidden="false" customHeight="false" outlineLevel="0" collapsed="false">
      <c r="A39" s="2" t="n">
        <v>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11" t="str">
        <f aca="false">IF(OR(B39="",E39=""),"",INDEX(Assumptions!$B$2:$B$4,E39)+Assumptions!$B$5*F39/1000+IF(G39="Y",Assumptions!$B$6,0))</f>
        <v/>
      </c>
      <c r="M39" s="2" t="str">
        <f aca="false">IF(L39="","",RANK(L39,$L$2:$L$101))</f>
        <v/>
      </c>
      <c r="N39" s="7"/>
    </row>
    <row r="40" customFormat="false" ht="15" hidden="false" customHeight="false" outlineLevel="0" collapsed="false">
      <c r="A40" s="2" t="n">
        <v>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11" t="str">
        <f aca="false">IF(OR(B40="",E40=""),"",INDEX(Assumptions!$B$2:$B$4,E40)+Assumptions!$B$5*F40/1000+IF(G40="Y",Assumptions!$B$6,0))</f>
        <v/>
      </c>
      <c r="M40" s="2" t="str">
        <f aca="false">IF(L40="","",RANK(L40,$L$2:$L$101))</f>
        <v/>
      </c>
      <c r="N40" s="7"/>
    </row>
    <row r="41" customFormat="false" ht="15" hidden="false" customHeight="false" outlineLevel="0" collapsed="false">
      <c r="A41" s="2" t="n">
        <v>40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11" t="str">
        <f aca="false">IF(OR(B41="",E41=""),"",INDEX(Assumptions!$B$2:$B$4,E41)+Assumptions!$B$5*F41/1000+IF(G41="Y",Assumptions!$B$6,0))</f>
        <v/>
      </c>
      <c r="M41" s="2" t="str">
        <f aca="false">IF(L41="","",RANK(L41,$L$2:$L$101))</f>
        <v/>
      </c>
      <c r="N41" s="7"/>
    </row>
    <row r="42" customFormat="false" ht="15" hidden="false" customHeight="false" outlineLevel="0" collapsed="false">
      <c r="A42" s="2" t="n">
        <v>41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11" t="str">
        <f aca="false">IF(OR(B42="",E42=""),"",INDEX(Assumptions!$B$2:$B$4,E42)+Assumptions!$B$5*F42/1000+IF(G42="Y",Assumptions!$B$6,0))</f>
        <v/>
      </c>
      <c r="M42" s="2" t="str">
        <f aca="false">IF(L42="","",RANK(L42,$L$2:$L$101))</f>
        <v/>
      </c>
      <c r="N42" s="7"/>
    </row>
    <row r="43" customFormat="false" ht="15" hidden="false" customHeight="false" outlineLevel="0" collapsed="false">
      <c r="A43" s="2" t="n">
        <v>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11" t="str">
        <f aca="false">IF(OR(B43="",E43=""),"",INDEX(Assumptions!$B$2:$B$4,E43)+Assumptions!$B$5*F43/1000+IF(G43="Y",Assumptions!$B$6,0))</f>
        <v/>
      </c>
      <c r="M43" s="2" t="str">
        <f aca="false">IF(L43="","",RANK(L43,$L$2:$L$101))</f>
        <v/>
      </c>
      <c r="N43" s="7"/>
    </row>
    <row r="44" customFormat="false" ht="15" hidden="false" customHeight="false" outlineLevel="0" collapsed="false">
      <c r="A44" s="2" t="n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11" t="str">
        <f aca="false">IF(OR(B44="",E44=""),"",INDEX(Assumptions!$B$2:$B$4,E44)+Assumptions!$B$5*F44/1000+IF(G44="Y",Assumptions!$B$6,0))</f>
        <v/>
      </c>
      <c r="M44" s="2" t="str">
        <f aca="false">IF(L44="","",RANK(L44,$L$2:$L$101))</f>
        <v/>
      </c>
      <c r="N44" s="7"/>
    </row>
    <row r="45" customFormat="false" ht="15" hidden="false" customHeight="false" outlineLevel="0" collapsed="false">
      <c r="A45" s="2" t="n">
        <v>44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11" t="str">
        <f aca="false">IF(OR(B45="",E45=""),"",INDEX(Assumptions!$B$2:$B$4,E45)+Assumptions!$B$5*F45/1000+IF(G45="Y",Assumptions!$B$6,0))</f>
        <v/>
      </c>
      <c r="M45" s="2" t="str">
        <f aca="false">IF(L45="","",RANK(L45,$L$2:$L$101))</f>
        <v/>
      </c>
      <c r="N45" s="7"/>
    </row>
    <row r="46" customFormat="false" ht="15" hidden="false" customHeight="false" outlineLevel="0" collapsed="false">
      <c r="A46" s="2" t="n">
        <v>45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11" t="str">
        <f aca="false">IF(OR(B46="",E46=""),"",INDEX(Assumptions!$B$2:$B$4,E46)+Assumptions!$B$5*F46/1000+IF(G46="Y",Assumptions!$B$6,0))</f>
        <v/>
      </c>
      <c r="M46" s="2" t="str">
        <f aca="false">IF(L46="","",RANK(L46,$L$2:$L$101))</f>
        <v/>
      </c>
      <c r="N46" s="7"/>
    </row>
    <row r="47" customFormat="false" ht="15" hidden="false" customHeight="false" outlineLevel="0" collapsed="false">
      <c r="A47" s="2" t="n">
        <v>46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11" t="str">
        <f aca="false">IF(OR(B47="",E47=""),"",INDEX(Assumptions!$B$2:$B$4,E47)+Assumptions!$B$5*F47/1000+IF(G47="Y",Assumptions!$B$6,0))</f>
        <v/>
      </c>
      <c r="M47" s="2" t="str">
        <f aca="false">IF(L47="","",RANK(L47,$L$2:$L$101))</f>
        <v/>
      </c>
      <c r="N47" s="7"/>
    </row>
    <row r="48" customFormat="false" ht="15" hidden="false" customHeight="false" outlineLevel="0" collapsed="false">
      <c r="A48" s="2" t="n">
        <v>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11" t="str">
        <f aca="false">IF(OR(B48="",E48=""),"",INDEX(Assumptions!$B$2:$B$4,E48)+Assumptions!$B$5*F48/1000+IF(G48="Y",Assumptions!$B$6,0))</f>
        <v/>
      </c>
      <c r="M48" s="2" t="str">
        <f aca="false">IF(L48="","",RANK(L48,$L$2:$L$101))</f>
        <v/>
      </c>
      <c r="N48" s="7"/>
    </row>
    <row r="49" customFormat="false" ht="15" hidden="false" customHeight="false" outlineLevel="0" collapsed="false">
      <c r="A49" s="2" t="n">
        <v>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11" t="str">
        <f aca="false">IF(OR(B49="",E49=""),"",INDEX(Assumptions!$B$2:$B$4,E49)+Assumptions!$B$5*F49/1000+IF(G49="Y",Assumptions!$B$6,0))</f>
        <v/>
      </c>
      <c r="M49" s="2" t="str">
        <f aca="false">IF(L49="","",RANK(L49,$L$2:$L$101))</f>
        <v/>
      </c>
      <c r="N49" s="7"/>
    </row>
    <row r="50" customFormat="false" ht="15" hidden="false" customHeight="false" outlineLevel="0" collapsed="false">
      <c r="A50" s="2" t="n">
        <v>49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11" t="str">
        <f aca="false">IF(OR(B50="",E50=""),"",INDEX(Assumptions!$B$2:$B$4,E50)+Assumptions!$B$5*F50/1000+IF(G50="Y",Assumptions!$B$6,0))</f>
        <v/>
      </c>
      <c r="M50" s="2" t="str">
        <f aca="false">IF(L50="","",RANK(L50,$L$2:$L$101))</f>
        <v/>
      </c>
      <c r="N50" s="7"/>
    </row>
    <row r="51" customFormat="false" ht="15" hidden="false" customHeight="false" outlineLevel="0" collapsed="false">
      <c r="A51" s="2" t="n">
        <v>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11" t="str">
        <f aca="false">IF(OR(B51="",E51=""),"",INDEX(Assumptions!$B$2:$B$4,E51)+Assumptions!$B$5*F51/1000+IF(G51="Y",Assumptions!$B$6,0))</f>
        <v/>
      </c>
      <c r="M51" s="2" t="str">
        <f aca="false">IF(L51="","",RANK(L51,$L$2:$L$101))</f>
        <v/>
      </c>
      <c r="N51" s="7"/>
    </row>
    <row r="52" customFormat="false" ht="15" hidden="false" customHeight="false" outlineLevel="0" collapsed="false">
      <c r="A52" s="2" t="n">
        <v>51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11" t="str">
        <f aca="false">IF(OR(B52="",E52=""),"",INDEX(Assumptions!$B$2:$B$4,E52)+Assumptions!$B$5*F52/1000+IF(G52="Y",Assumptions!$B$6,0))</f>
        <v/>
      </c>
      <c r="M52" s="2" t="str">
        <f aca="false">IF(L52="","",RANK(L52,$L$2:$L$101))</f>
        <v/>
      </c>
      <c r="N52" s="7"/>
    </row>
    <row r="53" customFormat="false" ht="15" hidden="false" customHeight="false" outlineLevel="0" collapsed="false">
      <c r="A53" s="2" t="n">
        <v>52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11" t="str">
        <f aca="false">IF(OR(B53="",E53=""),"",INDEX(Assumptions!$B$2:$B$4,E53)+Assumptions!$B$5*F53/1000+IF(G53="Y",Assumptions!$B$6,0))</f>
        <v/>
      </c>
      <c r="M53" s="2" t="str">
        <f aca="false">IF(L53="","",RANK(L53,$L$2:$L$101))</f>
        <v/>
      </c>
      <c r="N53" s="7"/>
    </row>
    <row r="54" customFormat="false" ht="15" hidden="false" customHeight="false" outlineLevel="0" collapsed="false">
      <c r="A54" s="2" t="n">
        <v>53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11" t="str">
        <f aca="false">IF(OR(B54="",E54=""),"",INDEX(Assumptions!$B$2:$B$4,E54)+Assumptions!$B$5*F54/1000+IF(G54="Y",Assumptions!$B$6,0))</f>
        <v/>
      </c>
      <c r="M54" s="2" t="str">
        <f aca="false">IF(L54="","",RANK(L54,$L$2:$L$101))</f>
        <v/>
      </c>
      <c r="N54" s="7"/>
    </row>
    <row r="55" customFormat="false" ht="15" hidden="false" customHeight="false" outlineLevel="0" collapsed="false">
      <c r="A55" s="2" t="n">
        <v>54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11" t="str">
        <f aca="false">IF(OR(B55="",E55=""),"",INDEX(Assumptions!$B$2:$B$4,E55)+Assumptions!$B$5*F55/1000+IF(G55="Y",Assumptions!$B$6,0))</f>
        <v/>
      </c>
      <c r="M55" s="2" t="str">
        <f aca="false">IF(L55="","",RANK(L55,$L$2:$L$101))</f>
        <v/>
      </c>
      <c r="N55" s="7"/>
    </row>
    <row r="56" customFormat="false" ht="15" hidden="false" customHeight="false" outlineLevel="0" collapsed="false">
      <c r="A56" s="2" t="n">
        <v>55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11" t="str">
        <f aca="false">IF(OR(B56="",E56=""),"",INDEX(Assumptions!$B$2:$B$4,E56)+Assumptions!$B$5*F56/1000+IF(G56="Y",Assumptions!$B$6,0))</f>
        <v/>
      </c>
      <c r="M56" s="2" t="str">
        <f aca="false">IF(L56="","",RANK(L56,$L$2:$L$101))</f>
        <v/>
      </c>
      <c r="N56" s="7"/>
    </row>
    <row r="57" customFormat="false" ht="15" hidden="false" customHeight="false" outlineLevel="0" collapsed="false">
      <c r="A57" s="2" t="n">
        <v>56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11" t="str">
        <f aca="false">IF(OR(B57="",E57=""),"",INDEX(Assumptions!$B$2:$B$4,E57)+Assumptions!$B$5*F57/1000+IF(G57="Y",Assumptions!$B$6,0))</f>
        <v/>
      </c>
      <c r="M57" s="2" t="str">
        <f aca="false">IF(L57="","",RANK(L57,$L$2:$L$101))</f>
        <v/>
      </c>
      <c r="N57" s="7"/>
    </row>
    <row r="58" customFormat="false" ht="15" hidden="false" customHeight="false" outlineLevel="0" collapsed="false">
      <c r="A58" s="2" t="n">
        <v>57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11" t="str">
        <f aca="false">IF(OR(B58="",E58=""),"",INDEX(Assumptions!$B$2:$B$4,E58)+Assumptions!$B$5*F58/1000+IF(G58="Y",Assumptions!$B$6,0))</f>
        <v/>
      </c>
      <c r="M58" s="2" t="str">
        <f aca="false">IF(L58="","",RANK(L58,$L$2:$L$101))</f>
        <v/>
      </c>
      <c r="N58" s="7"/>
    </row>
    <row r="59" customFormat="false" ht="15" hidden="false" customHeight="false" outlineLevel="0" collapsed="false">
      <c r="A59" s="2" t="n">
        <v>58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11" t="str">
        <f aca="false">IF(OR(B59="",E59=""),"",INDEX(Assumptions!$B$2:$B$4,E59)+Assumptions!$B$5*F59/1000+IF(G59="Y",Assumptions!$B$6,0))</f>
        <v/>
      </c>
      <c r="M59" s="2" t="str">
        <f aca="false">IF(L59="","",RANK(L59,$L$2:$L$101))</f>
        <v/>
      </c>
      <c r="N59" s="7"/>
    </row>
    <row r="60" customFormat="false" ht="15" hidden="false" customHeight="false" outlineLevel="0" collapsed="false">
      <c r="A60" s="2" t="n">
        <v>59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11" t="str">
        <f aca="false">IF(OR(B60="",E60=""),"",INDEX(Assumptions!$B$2:$B$4,E60)+Assumptions!$B$5*F60/1000+IF(G60="Y",Assumptions!$B$6,0))</f>
        <v/>
      </c>
      <c r="M60" s="2" t="str">
        <f aca="false">IF(L60="","",RANK(L60,$L$2:$L$101))</f>
        <v/>
      </c>
      <c r="N60" s="7"/>
    </row>
    <row r="61" customFormat="false" ht="15" hidden="false" customHeight="false" outlineLevel="0" collapsed="false">
      <c r="A61" s="2" t="n">
        <v>60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11" t="str">
        <f aca="false">IF(OR(B61="",E61=""),"",INDEX(Assumptions!$B$2:$B$4,E61)+Assumptions!$B$5*F61/1000+IF(G61="Y",Assumptions!$B$6,0))</f>
        <v/>
      </c>
      <c r="M61" s="2" t="str">
        <f aca="false">IF(L61="","",RANK(L61,$L$2:$L$101))</f>
        <v/>
      </c>
      <c r="N61" s="7"/>
    </row>
    <row r="62" customFormat="false" ht="15" hidden="false" customHeight="false" outlineLevel="0" collapsed="false">
      <c r="A62" s="2" t="n">
        <v>61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11" t="str">
        <f aca="false">IF(OR(B62="",E62=""),"",INDEX(Assumptions!$B$2:$B$4,E62)+Assumptions!$B$5*F62/1000+IF(G62="Y",Assumptions!$B$6,0))</f>
        <v/>
      </c>
      <c r="M62" s="2" t="str">
        <f aca="false">IF(L62="","",RANK(L62,$L$2:$L$101))</f>
        <v/>
      </c>
      <c r="N62" s="7"/>
    </row>
    <row r="63" customFormat="false" ht="15" hidden="false" customHeight="false" outlineLevel="0" collapsed="false">
      <c r="A63" s="2" t="n">
        <v>62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11" t="str">
        <f aca="false">IF(OR(B63="",E63=""),"",INDEX(Assumptions!$B$2:$B$4,E63)+Assumptions!$B$5*F63/1000+IF(G63="Y",Assumptions!$B$6,0))</f>
        <v/>
      </c>
      <c r="M63" s="2" t="str">
        <f aca="false">IF(L63="","",RANK(L63,$L$2:$L$101))</f>
        <v/>
      </c>
      <c r="N63" s="7"/>
    </row>
    <row r="64" customFormat="false" ht="15" hidden="false" customHeight="false" outlineLevel="0" collapsed="false">
      <c r="A64" s="2" t="n">
        <v>63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11" t="str">
        <f aca="false">IF(OR(B64="",E64=""),"",INDEX(Assumptions!$B$2:$B$4,E64)+Assumptions!$B$5*F64/1000+IF(G64="Y",Assumptions!$B$6,0))</f>
        <v/>
      </c>
      <c r="M64" s="2" t="str">
        <f aca="false">IF(L64="","",RANK(L64,$L$2:$L$101))</f>
        <v/>
      </c>
      <c r="N64" s="7"/>
    </row>
    <row r="65" customFormat="false" ht="15" hidden="false" customHeight="false" outlineLevel="0" collapsed="false">
      <c r="A65" s="2" t="n">
        <v>64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11" t="str">
        <f aca="false">IF(OR(B65="",E65=""),"",INDEX(Assumptions!$B$2:$B$4,E65)+Assumptions!$B$5*F65/1000+IF(G65="Y",Assumptions!$B$6,0))</f>
        <v/>
      </c>
      <c r="M65" s="2" t="str">
        <f aca="false">IF(L65="","",RANK(L65,$L$2:$L$101))</f>
        <v/>
      </c>
      <c r="N65" s="7"/>
    </row>
    <row r="66" customFormat="false" ht="15" hidden="false" customHeight="false" outlineLevel="0" collapsed="false">
      <c r="A66" s="2" t="n">
        <v>65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11" t="str">
        <f aca="false">IF(OR(B66="",E66=""),"",INDEX(Assumptions!$B$2:$B$4,E66)+Assumptions!$B$5*F66/1000+IF(G66="Y",Assumptions!$B$6,0))</f>
        <v/>
      </c>
      <c r="M66" s="2" t="str">
        <f aca="false">IF(L66="","",RANK(L66,$L$2:$L$101))</f>
        <v/>
      </c>
      <c r="N66" s="7"/>
    </row>
    <row r="67" customFormat="false" ht="15" hidden="false" customHeight="false" outlineLevel="0" collapsed="false">
      <c r="A67" s="2" t="n">
        <v>66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11" t="str">
        <f aca="false">IF(OR(B67="",E67=""),"",INDEX(Assumptions!$B$2:$B$4,E67)+Assumptions!$B$5*F67/1000+IF(G67="Y",Assumptions!$B$6,0))</f>
        <v/>
      </c>
      <c r="M67" s="2" t="str">
        <f aca="false">IF(L67="","",RANK(L67,$L$2:$L$101))</f>
        <v/>
      </c>
      <c r="N67" s="7"/>
    </row>
    <row r="68" customFormat="false" ht="15" hidden="false" customHeight="false" outlineLevel="0" collapsed="false">
      <c r="A68" s="2" t="n">
        <v>67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11" t="str">
        <f aca="false">IF(OR(B68="",E68=""),"",INDEX(Assumptions!$B$2:$B$4,E68)+Assumptions!$B$5*F68/1000+IF(G68="Y",Assumptions!$B$6,0))</f>
        <v/>
      </c>
      <c r="M68" s="2" t="str">
        <f aca="false">IF(L68="","",RANK(L68,$L$2:$L$101))</f>
        <v/>
      </c>
      <c r="N68" s="7"/>
    </row>
    <row r="69" customFormat="false" ht="15" hidden="false" customHeight="false" outlineLevel="0" collapsed="false">
      <c r="A69" s="2" t="n">
        <v>68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11" t="str">
        <f aca="false">IF(OR(B69="",E69=""),"",INDEX(Assumptions!$B$2:$B$4,E69)+Assumptions!$B$5*F69/1000+IF(G69="Y",Assumptions!$B$6,0))</f>
        <v/>
      </c>
      <c r="M69" s="2" t="str">
        <f aca="false">IF(L69="","",RANK(L69,$L$2:$L$101))</f>
        <v/>
      </c>
      <c r="N69" s="7"/>
    </row>
    <row r="70" customFormat="false" ht="15" hidden="false" customHeight="false" outlineLevel="0" collapsed="false">
      <c r="A70" s="2" t="n">
        <v>69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11" t="str">
        <f aca="false">IF(OR(B70="",E70=""),"",INDEX(Assumptions!$B$2:$B$4,E70)+Assumptions!$B$5*F70/1000+IF(G70="Y",Assumptions!$B$6,0))</f>
        <v/>
      </c>
      <c r="M70" s="2" t="str">
        <f aca="false">IF(L70="","",RANK(L70,$L$2:$L$101))</f>
        <v/>
      </c>
      <c r="N70" s="7"/>
    </row>
    <row r="71" customFormat="false" ht="15" hidden="false" customHeight="false" outlineLevel="0" collapsed="false">
      <c r="A71" s="2" t="n">
        <v>70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11" t="str">
        <f aca="false">IF(OR(B71="",E71=""),"",INDEX(Assumptions!$B$2:$B$4,E71)+Assumptions!$B$5*F71/1000+IF(G71="Y",Assumptions!$B$6,0))</f>
        <v/>
      </c>
      <c r="M71" s="2" t="str">
        <f aca="false">IF(L71="","",RANK(L71,$L$2:$L$101))</f>
        <v/>
      </c>
      <c r="N71" s="7"/>
    </row>
    <row r="72" customFormat="false" ht="15" hidden="false" customHeight="false" outlineLevel="0" collapsed="false">
      <c r="A72" s="2" t="n">
        <v>71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11" t="str">
        <f aca="false">IF(OR(B72="",E72=""),"",INDEX(Assumptions!$B$2:$B$4,E72)+Assumptions!$B$5*F72/1000+IF(G72="Y",Assumptions!$B$6,0))</f>
        <v/>
      </c>
      <c r="M72" s="2" t="str">
        <f aca="false">IF(L72="","",RANK(L72,$L$2:$L$101))</f>
        <v/>
      </c>
      <c r="N72" s="7"/>
    </row>
    <row r="73" customFormat="false" ht="15" hidden="false" customHeight="false" outlineLevel="0" collapsed="false">
      <c r="A73" s="2" t="n">
        <v>72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11" t="str">
        <f aca="false">IF(OR(B73="",E73=""),"",INDEX(Assumptions!$B$2:$B$4,E73)+Assumptions!$B$5*F73/1000+IF(G73="Y",Assumptions!$B$6,0))</f>
        <v/>
      </c>
      <c r="M73" s="2" t="str">
        <f aca="false">IF(L73="","",RANK(L73,$L$2:$L$101))</f>
        <v/>
      </c>
      <c r="N73" s="7"/>
    </row>
    <row r="74" customFormat="false" ht="15" hidden="false" customHeight="false" outlineLevel="0" collapsed="false">
      <c r="A74" s="2" t="n">
        <v>73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11" t="str">
        <f aca="false">IF(OR(B74="",E74=""),"",INDEX(Assumptions!$B$2:$B$4,E74)+Assumptions!$B$5*F74/1000+IF(G74="Y",Assumptions!$B$6,0))</f>
        <v/>
      </c>
      <c r="M74" s="2" t="str">
        <f aca="false">IF(L74="","",RANK(L74,$L$2:$L$101))</f>
        <v/>
      </c>
      <c r="N74" s="7"/>
    </row>
    <row r="75" customFormat="false" ht="15" hidden="false" customHeight="false" outlineLevel="0" collapsed="false">
      <c r="A75" s="2" t="n">
        <v>74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11" t="str">
        <f aca="false">IF(OR(B75="",E75=""),"",INDEX(Assumptions!$B$2:$B$4,E75)+Assumptions!$B$5*F75/1000+IF(G75="Y",Assumptions!$B$6,0))</f>
        <v/>
      </c>
      <c r="M75" s="2" t="str">
        <f aca="false">IF(L75="","",RANK(L75,$L$2:$L$101))</f>
        <v/>
      </c>
      <c r="N75" s="7"/>
    </row>
    <row r="76" customFormat="false" ht="15" hidden="false" customHeight="false" outlineLevel="0" collapsed="false">
      <c r="A76" s="2" t="n">
        <v>75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11" t="str">
        <f aca="false">IF(OR(B76="",E76=""),"",INDEX(Assumptions!$B$2:$B$4,E76)+Assumptions!$B$5*F76/1000+IF(G76="Y",Assumptions!$B$6,0))</f>
        <v/>
      </c>
      <c r="M76" s="2" t="str">
        <f aca="false">IF(L76="","",RANK(L76,$L$2:$L$101))</f>
        <v/>
      </c>
      <c r="N76" s="7"/>
    </row>
    <row r="77" customFormat="false" ht="15" hidden="false" customHeight="false" outlineLevel="0" collapsed="false">
      <c r="A77" s="2" t="n">
        <v>76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11" t="str">
        <f aca="false">IF(OR(B77="",E77=""),"",INDEX(Assumptions!$B$2:$B$4,E77)+Assumptions!$B$5*F77/1000+IF(G77="Y",Assumptions!$B$6,0))</f>
        <v/>
      </c>
      <c r="M77" s="2" t="str">
        <f aca="false">IF(L77="","",RANK(L77,$L$2:$L$101))</f>
        <v/>
      </c>
      <c r="N77" s="7"/>
    </row>
    <row r="78" customFormat="false" ht="15" hidden="false" customHeight="false" outlineLevel="0" collapsed="false">
      <c r="A78" s="2" t="n">
        <v>77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11" t="str">
        <f aca="false">IF(OR(B78="",E78=""),"",INDEX(Assumptions!$B$2:$B$4,E78)+Assumptions!$B$5*F78/1000+IF(G78="Y",Assumptions!$B$6,0))</f>
        <v/>
      </c>
      <c r="M78" s="2" t="str">
        <f aca="false">IF(L78="","",RANK(L78,$L$2:$L$101))</f>
        <v/>
      </c>
      <c r="N78" s="7"/>
    </row>
    <row r="79" customFormat="false" ht="15" hidden="false" customHeight="false" outlineLevel="0" collapsed="false">
      <c r="A79" s="2" t="n">
        <v>78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11" t="str">
        <f aca="false">IF(OR(B79="",E79=""),"",INDEX(Assumptions!$B$2:$B$4,E79)+Assumptions!$B$5*F79/1000+IF(G79="Y",Assumptions!$B$6,0))</f>
        <v/>
      </c>
      <c r="M79" s="2" t="str">
        <f aca="false">IF(L79="","",RANK(L79,$L$2:$L$101))</f>
        <v/>
      </c>
      <c r="N79" s="7"/>
    </row>
    <row r="80" customFormat="false" ht="15" hidden="false" customHeight="false" outlineLevel="0" collapsed="false">
      <c r="A80" s="2" t="n">
        <v>79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11" t="str">
        <f aca="false">IF(OR(B80="",E80=""),"",INDEX(Assumptions!$B$2:$B$4,E80)+Assumptions!$B$5*F80/1000+IF(G80="Y",Assumptions!$B$6,0))</f>
        <v/>
      </c>
      <c r="M80" s="2" t="str">
        <f aca="false">IF(L80="","",RANK(L80,$L$2:$L$101))</f>
        <v/>
      </c>
      <c r="N80" s="7"/>
    </row>
    <row r="81" customFormat="false" ht="15" hidden="false" customHeight="false" outlineLevel="0" collapsed="false">
      <c r="A81" s="2" t="n">
        <v>80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11" t="str">
        <f aca="false">IF(OR(B81="",E81=""),"",INDEX(Assumptions!$B$2:$B$4,E81)+Assumptions!$B$5*F81/1000+IF(G81="Y",Assumptions!$B$6,0))</f>
        <v/>
      </c>
      <c r="M81" s="2" t="str">
        <f aca="false">IF(L81="","",RANK(L81,$L$2:$L$101))</f>
        <v/>
      </c>
      <c r="N81" s="7"/>
    </row>
    <row r="82" customFormat="false" ht="15" hidden="false" customHeight="false" outlineLevel="0" collapsed="false">
      <c r="A82" s="2" t="n">
        <v>81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11" t="str">
        <f aca="false">IF(OR(B82="",E82=""),"",INDEX(Assumptions!$B$2:$B$4,E82)+Assumptions!$B$5*F82/1000+IF(G82="Y",Assumptions!$B$6,0))</f>
        <v/>
      </c>
      <c r="M82" s="2" t="str">
        <f aca="false">IF(L82="","",RANK(L82,$L$2:$L$101))</f>
        <v/>
      </c>
      <c r="N82" s="7"/>
    </row>
    <row r="83" customFormat="false" ht="15" hidden="false" customHeight="false" outlineLevel="0" collapsed="false">
      <c r="A83" s="2" t="n">
        <v>82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11" t="str">
        <f aca="false">IF(OR(B83="",E83=""),"",INDEX(Assumptions!$B$2:$B$4,E83)+Assumptions!$B$5*F83/1000+IF(G83="Y",Assumptions!$B$6,0))</f>
        <v/>
      </c>
      <c r="M83" s="2" t="str">
        <f aca="false">IF(L83="","",RANK(L83,$L$2:$L$101))</f>
        <v/>
      </c>
      <c r="N83" s="7"/>
    </row>
    <row r="84" customFormat="false" ht="15" hidden="false" customHeight="false" outlineLevel="0" collapsed="false">
      <c r="A84" s="2" t="n">
        <v>83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11" t="str">
        <f aca="false">IF(OR(B84="",E84=""),"",INDEX(Assumptions!$B$2:$B$4,E84)+Assumptions!$B$5*F84/1000+IF(G84="Y",Assumptions!$B$6,0))</f>
        <v/>
      </c>
      <c r="M84" s="2" t="str">
        <f aca="false">IF(L84="","",RANK(L84,$L$2:$L$101))</f>
        <v/>
      </c>
      <c r="N84" s="7"/>
    </row>
    <row r="85" customFormat="false" ht="15" hidden="false" customHeight="false" outlineLevel="0" collapsed="false">
      <c r="A85" s="2" t="n">
        <v>84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11" t="str">
        <f aca="false">IF(OR(B85="",E85=""),"",INDEX(Assumptions!$B$2:$B$4,E85)+Assumptions!$B$5*F85/1000+IF(G85="Y",Assumptions!$B$6,0))</f>
        <v/>
      </c>
      <c r="M85" s="2" t="str">
        <f aca="false">IF(L85="","",RANK(L85,$L$2:$L$101))</f>
        <v/>
      </c>
      <c r="N85" s="7"/>
    </row>
    <row r="86" customFormat="false" ht="15" hidden="false" customHeight="false" outlineLevel="0" collapsed="false">
      <c r="A86" s="2" t="n">
        <v>85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11" t="str">
        <f aca="false">IF(OR(B86="",E86=""),"",INDEX(Assumptions!$B$2:$B$4,E86)+Assumptions!$B$5*F86/1000+IF(G86="Y",Assumptions!$B$6,0))</f>
        <v/>
      </c>
      <c r="M86" s="2" t="str">
        <f aca="false">IF(L86="","",RANK(L86,$L$2:$L$101))</f>
        <v/>
      </c>
      <c r="N86" s="7"/>
    </row>
    <row r="87" customFormat="false" ht="15" hidden="false" customHeight="false" outlineLevel="0" collapsed="false">
      <c r="A87" s="2" t="n">
        <v>86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11" t="str">
        <f aca="false">IF(OR(B87="",E87=""),"",INDEX(Assumptions!$B$2:$B$4,E87)+Assumptions!$B$5*F87/1000+IF(G87="Y",Assumptions!$B$6,0))</f>
        <v/>
      </c>
      <c r="M87" s="2" t="str">
        <f aca="false">IF(L87="","",RANK(L87,$L$2:$L$101))</f>
        <v/>
      </c>
      <c r="N87" s="7"/>
    </row>
    <row r="88" customFormat="false" ht="15" hidden="false" customHeight="false" outlineLevel="0" collapsed="false">
      <c r="A88" s="2" t="n">
        <v>87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11" t="str">
        <f aca="false">IF(OR(B88="",E88=""),"",INDEX(Assumptions!$B$2:$B$4,E88)+Assumptions!$B$5*F88/1000+IF(G88="Y",Assumptions!$B$6,0))</f>
        <v/>
      </c>
      <c r="M88" s="2" t="str">
        <f aca="false">IF(L88="","",RANK(L88,$L$2:$L$101))</f>
        <v/>
      </c>
      <c r="N88" s="7"/>
    </row>
    <row r="89" customFormat="false" ht="15" hidden="false" customHeight="false" outlineLevel="0" collapsed="false">
      <c r="A89" s="2" t="n">
        <v>88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11" t="str">
        <f aca="false">IF(OR(B89="",E89=""),"",INDEX(Assumptions!$B$2:$B$4,E89)+Assumptions!$B$5*F89/1000+IF(G89="Y",Assumptions!$B$6,0))</f>
        <v/>
      </c>
      <c r="M89" s="2" t="str">
        <f aca="false">IF(L89="","",RANK(L89,$L$2:$L$101))</f>
        <v/>
      </c>
      <c r="N89" s="7"/>
    </row>
    <row r="90" customFormat="false" ht="15" hidden="false" customHeight="false" outlineLevel="0" collapsed="false">
      <c r="A90" s="2" t="n">
        <v>89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11" t="str">
        <f aca="false">IF(OR(B90="",E90=""),"",INDEX(Assumptions!$B$2:$B$4,E90)+Assumptions!$B$5*F90/1000+IF(G90="Y",Assumptions!$B$6,0))</f>
        <v/>
      </c>
      <c r="M90" s="2" t="str">
        <f aca="false">IF(L90="","",RANK(L90,$L$2:$L$101))</f>
        <v/>
      </c>
      <c r="N90" s="7"/>
    </row>
    <row r="91" customFormat="false" ht="15" hidden="false" customHeight="false" outlineLevel="0" collapsed="false">
      <c r="A91" s="2" t="n">
        <v>90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11" t="str">
        <f aca="false">IF(OR(B91="",E91=""),"",INDEX(Assumptions!$B$2:$B$4,E91)+Assumptions!$B$5*F91/1000+IF(G91="Y",Assumptions!$B$6,0))</f>
        <v/>
      </c>
      <c r="M91" s="2" t="str">
        <f aca="false">IF(L91="","",RANK(L91,$L$2:$L$101))</f>
        <v/>
      </c>
      <c r="N91" s="7"/>
    </row>
    <row r="92" customFormat="false" ht="15" hidden="false" customHeight="false" outlineLevel="0" collapsed="false">
      <c r="A92" s="2" t="n">
        <v>91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11" t="str">
        <f aca="false">IF(OR(B92="",E92=""),"",INDEX(Assumptions!$B$2:$B$4,E92)+Assumptions!$B$5*F92/1000+IF(G92="Y",Assumptions!$B$6,0))</f>
        <v/>
      </c>
      <c r="M92" s="2" t="str">
        <f aca="false">IF(L92="","",RANK(L92,$L$2:$L$101))</f>
        <v/>
      </c>
      <c r="N92" s="7"/>
    </row>
    <row r="93" customFormat="false" ht="15" hidden="false" customHeight="false" outlineLevel="0" collapsed="false">
      <c r="A93" s="2" t="n">
        <v>92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11" t="str">
        <f aca="false">IF(OR(B93="",E93=""),"",INDEX(Assumptions!$B$2:$B$4,E93)+Assumptions!$B$5*F93/1000+IF(G93="Y",Assumptions!$B$6,0))</f>
        <v/>
      </c>
      <c r="M93" s="2" t="str">
        <f aca="false">IF(L93="","",RANK(L93,$L$2:$L$101))</f>
        <v/>
      </c>
      <c r="N93" s="7"/>
    </row>
    <row r="94" customFormat="false" ht="15" hidden="false" customHeight="false" outlineLevel="0" collapsed="false">
      <c r="A94" s="2" t="n">
        <v>93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11" t="str">
        <f aca="false">IF(OR(B94="",E94=""),"",INDEX(Assumptions!$B$2:$B$4,E94)+Assumptions!$B$5*F94/1000+IF(G94="Y",Assumptions!$B$6,0))</f>
        <v/>
      </c>
      <c r="M94" s="2" t="str">
        <f aca="false">IF(L94="","",RANK(L94,$L$2:$L$101))</f>
        <v/>
      </c>
      <c r="N94" s="7"/>
    </row>
    <row r="95" customFormat="false" ht="15" hidden="false" customHeight="false" outlineLevel="0" collapsed="false">
      <c r="A95" s="2" t="n">
        <v>94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11" t="str">
        <f aca="false">IF(OR(B95="",E95=""),"",INDEX(Assumptions!$B$2:$B$4,E95)+Assumptions!$B$5*F95/1000+IF(G95="Y",Assumptions!$B$6,0))</f>
        <v/>
      </c>
      <c r="M95" s="2" t="str">
        <f aca="false">IF(L95="","",RANK(L95,$L$2:$L$101))</f>
        <v/>
      </c>
      <c r="N95" s="7"/>
    </row>
    <row r="96" customFormat="false" ht="15" hidden="false" customHeight="false" outlineLevel="0" collapsed="false">
      <c r="A96" s="2" t="n">
        <v>95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11" t="str">
        <f aca="false">IF(OR(B96="",E96=""),"",INDEX(Assumptions!$B$2:$B$4,E96)+Assumptions!$B$5*F96/1000+IF(G96="Y",Assumptions!$B$6,0))</f>
        <v/>
      </c>
      <c r="M96" s="2" t="str">
        <f aca="false">IF(L96="","",RANK(L96,$L$2:$L$101))</f>
        <v/>
      </c>
      <c r="N96" s="7"/>
    </row>
    <row r="97" customFormat="false" ht="15" hidden="false" customHeight="false" outlineLevel="0" collapsed="false">
      <c r="A97" s="2" t="n">
        <v>96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11" t="str">
        <f aca="false">IF(OR(B97="",E97=""),"",INDEX(Assumptions!$B$2:$B$4,E97)+Assumptions!$B$5*F97/1000+IF(G97="Y",Assumptions!$B$6,0))</f>
        <v/>
      </c>
      <c r="M97" s="2" t="str">
        <f aca="false">IF(L97="","",RANK(L97,$L$2:$L$101))</f>
        <v/>
      </c>
      <c r="N97" s="7"/>
    </row>
    <row r="98" customFormat="false" ht="15" hidden="false" customHeight="false" outlineLevel="0" collapsed="false">
      <c r="A98" s="2" t="n">
        <v>97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11" t="str">
        <f aca="false">IF(OR(B98="",E98=""),"",INDEX(Assumptions!$B$2:$B$4,E98)+Assumptions!$B$5*F98/1000+IF(G98="Y",Assumptions!$B$6,0))</f>
        <v/>
      </c>
      <c r="M98" s="2" t="str">
        <f aca="false">IF(L98="","",RANK(L98,$L$2:$L$101))</f>
        <v/>
      </c>
      <c r="N98" s="7"/>
    </row>
    <row r="99" customFormat="false" ht="15" hidden="false" customHeight="false" outlineLevel="0" collapsed="false">
      <c r="A99" s="2" t="n">
        <v>98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11" t="str">
        <f aca="false">IF(OR(B99="",E99=""),"",INDEX(Assumptions!$B$2:$B$4,E99)+Assumptions!$B$5*F99/1000+IF(G99="Y",Assumptions!$B$6,0))</f>
        <v/>
      </c>
      <c r="M99" s="2" t="str">
        <f aca="false">IF(L99="","",RANK(L99,$L$2:$L$101))</f>
        <v/>
      </c>
      <c r="N99" s="7"/>
    </row>
    <row r="100" customFormat="false" ht="15" hidden="false" customHeight="false" outlineLevel="0" collapsed="false">
      <c r="A100" s="2" t="n">
        <v>99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1" t="str">
        <f aca="false">IF(OR(B100="",E100=""),"",INDEX(Assumptions!$B$2:$B$4,E100)+Assumptions!$B$5*F100/1000+IF(G100="Y",Assumptions!$B$6,0))</f>
        <v/>
      </c>
      <c r="M100" s="2" t="str">
        <f aca="false">IF(L100="","",RANK(L100,$L$2:$L$101))</f>
        <v/>
      </c>
      <c r="N100" s="7"/>
    </row>
    <row r="101" customFormat="false" ht="15" hidden="false" customHeight="false" outlineLevel="0" collapsed="false">
      <c r="A101" s="2" t="n">
        <v>100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1" t="str">
        <f aca="false">IF(OR(B101="",E101=""),"",INDEX(Assumptions!$B$2:$B$4,E101)+Assumptions!$B$5*F101/1000+IF(G101="Y",Assumptions!$B$6,0))</f>
        <v/>
      </c>
      <c r="M101" s="2" t="str">
        <f aca="false">IF(L101="","",RANK(L101,$L$2:$L$101))</f>
        <v/>
      </c>
      <c r="N101" s="7"/>
    </row>
  </sheetData>
  <dataValidations count="3">
    <dataValidation allowBlank="true" errorStyle="stop" operator="between" showDropDown="false" showErrorMessage="false" showInputMessage="false" sqref="E2:E101" type="list">
      <formula1>"1,2,3"</formula1>
      <formula2>0</formula2>
    </dataValidation>
    <dataValidation allowBlank="true" errorStyle="stop" operator="between" showDropDown="false" showErrorMessage="false" showInputMessage="false" sqref="G2:G101" type="list">
      <formula1>"Y,N"</formula1>
      <formula2>0</formula2>
    </dataValidation>
    <dataValidation allowBlank="true" errorStyle="stop" operator="between" showDropDown="false" showErrorMessage="false" showInputMessage="false" sqref="J2:J101" type="list">
      <formula1>"Not contacted,Touch 1 sent,Touch 2 sent,Touch 3 sent,Replied,Meeting booked,Pitched,Pilot / drive agreed,Closed - 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63</v>
      </c>
      <c r="B1" s="3" t="s">
        <v>75</v>
      </c>
      <c r="C1" s="3" t="s">
        <v>76</v>
      </c>
    </row>
    <row r="2" customFormat="false" ht="15" hidden="false" customHeight="false" outlineLevel="0" collapsed="false">
      <c r="A2" s="2" t="s">
        <v>73</v>
      </c>
      <c r="B2" s="2" t="n">
        <f aca="false">COUNTIF(College_Pipeline!$J$2:$J$101,A2)</f>
        <v>1</v>
      </c>
      <c r="C2" s="10"/>
    </row>
    <row r="3" customFormat="false" ht="15" hidden="false" customHeight="false" outlineLevel="0" collapsed="false">
      <c r="A3" s="2" t="s">
        <v>77</v>
      </c>
      <c r="B3" s="2" t="n">
        <f aca="false">COUNTIF(College_Pipeline!$J$2:$J$101,A3)</f>
        <v>0</v>
      </c>
      <c r="C3" s="10" t="str">
        <f aca="false">IF(SUM($B$3:$B$10)=0,"",B3/SUM($B$3:$B$10))</f>
        <v/>
      </c>
    </row>
    <row r="4" customFormat="false" ht="15" hidden="false" customHeight="false" outlineLevel="0" collapsed="false">
      <c r="A4" s="2" t="s">
        <v>78</v>
      </c>
      <c r="B4" s="2" t="n">
        <f aca="false">COUNTIF(College_Pipeline!$J$2:$J$101,A4)</f>
        <v>0</v>
      </c>
      <c r="C4" s="10" t="str">
        <f aca="false">IF(SUM($B$3:$B$10)=0,"",B4/SUM($B$3:$B$10))</f>
        <v/>
      </c>
    </row>
    <row r="5" customFormat="false" ht="15" hidden="false" customHeight="false" outlineLevel="0" collapsed="false">
      <c r="A5" s="2" t="s">
        <v>79</v>
      </c>
      <c r="B5" s="2" t="n">
        <f aca="false">COUNTIF(College_Pipeline!$J$2:$J$101,A5)</f>
        <v>0</v>
      </c>
      <c r="C5" s="10" t="str">
        <f aca="false">IF(SUM($B$3:$B$10)=0,"",B5/SUM($B$3:$B$10))</f>
        <v/>
      </c>
    </row>
    <row r="6" customFormat="false" ht="15" hidden="false" customHeight="false" outlineLevel="0" collapsed="false">
      <c r="A6" s="2" t="s">
        <v>80</v>
      </c>
      <c r="B6" s="2" t="n">
        <f aca="false">COUNTIF(College_Pipeline!$J$2:$J$101,A6)</f>
        <v>0</v>
      </c>
      <c r="C6" s="10" t="str">
        <f aca="false">IF(SUM($B$3:$B$10)=0,"",B6/SUM($B$3:$B$10))</f>
        <v/>
      </c>
    </row>
    <row r="7" customFormat="false" ht="15" hidden="false" customHeight="false" outlineLevel="0" collapsed="false">
      <c r="A7" s="2" t="s">
        <v>81</v>
      </c>
      <c r="B7" s="2" t="n">
        <f aca="false">COUNTIF(College_Pipeline!$J$2:$J$101,A7)</f>
        <v>0</v>
      </c>
      <c r="C7" s="10" t="str">
        <f aca="false">IF(SUM($B$3:$B$10)=0,"",B7/SUM($B$3:$B$10))</f>
        <v/>
      </c>
    </row>
    <row r="8" customFormat="false" ht="15" hidden="false" customHeight="false" outlineLevel="0" collapsed="false">
      <c r="A8" s="2" t="s">
        <v>82</v>
      </c>
      <c r="B8" s="2" t="n">
        <f aca="false">COUNTIF(College_Pipeline!$J$2:$J$101,A8)</f>
        <v>0</v>
      </c>
      <c r="C8" s="10" t="str">
        <f aca="false">IF(SUM($B$3:$B$10)=0,"",B8/SUM($B$3:$B$10))</f>
        <v/>
      </c>
    </row>
    <row r="9" customFormat="false" ht="15" hidden="false" customHeight="false" outlineLevel="0" collapsed="false">
      <c r="A9" s="2" t="s">
        <v>83</v>
      </c>
      <c r="B9" s="2" t="n">
        <f aca="false">COUNTIF(College_Pipeline!$J$2:$J$101,A9)</f>
        <v>0</v>
      </c>
      <c r="C9" s="10" t="str">
        <f aca="false">IF(SUM($B$3:$B$10)=0,"",B9/SUM($B$3:$B$10))</f>
        <v/>
      </c>
    </row>
    <row r="10" customFormat="false" ht="15" hidden="false" customHeight="false" outlineLevel="0" collapsed="false">
      <c r="A10" s="2" t="s">
        <v>84</v>
      </c>
      <c r="B10" s="2" t="n">
        <f aca="false">COUNTIF(College_Pipeline!$J$2:$J$101,A10)</f>
        <v>0</v>
      </c>
      <c r="C10" s="10" t="str">
        <f aca="false">IF(SUM($B$3:$B$10)=0,"",B10/SUM($B$3:$B$10))</f>
        <v/>
      </c>
    </row>
    <row r="12" customFormat="false" ht="15" hidden="false" customHeight="false" outlineLevel="0" collapsed="false">
      <c r="A12" s="6" t="s">
        <v>85</v>
      </c>
      <c r="B12" s="2" t="n">
        <f aca="false">COUNTA(College_Pipeline!$B$2:$B$101)</f>
        <v>1</v>
      </c>
    </row>
    <row r="13" customFormat="false" ht="15" hidden="false" customHeight="false" outlineLevel="0" collapsed="false">
      <c r="A13" s="6" t="s">
        <v>86</v>
      </c>
      <c r="B13" s="10" t="str">
        <f aca="false">IF(SUM(B3:B10)=0,"",SUM(B6:B9)/SUM(B3:B10))</f>
        <v/>
      </c>
    </row>
    <row r="15" customFormat="false" ht="15" hidden="false" customHeight="false" outlineLevel="0" collapsed="false">
      <c r="A15" s="6" t="s">
        <v>87</v>
      </c>
    </row>
    <row r="16" customFormat="false" ht="15" hidden="false" customHeight="false" outlineLevel="0" collapsed="false">
      <c r="A16" s="2" t="s">
        <v>88</v>
      </c>
      <c r="B16" s="11" t="n">
        <f aca="false">B12*Assumptions!B8/100</f>
        <v>0.05</v>
      </c>
    </row>
    <row r="17" customFormat="false" ht="15" hidden="false" customHeight="false" outlineLevel="0" collapsed="false">
      <c r="A17" s="2" t="s">
        <v>89</v>
      </c>
      <c r="B17" s="12" t="n">
        <f aca="false">B16*Assumptions!B9</f>
        <v>1</v>
      </c>
    </row>
    <row r="18" customFormat="false" ht="15" hidden="false" customHeight="false" outlineLevel="0" collapsed="false">
      <c r="A18" s="2" t="s">
        <v>90</v>
      </c>
      <c r="B18" s="12" t="n">
        <f aca="false">B17*Assumptions!B7</f>
        <v>2949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67</v>
      </c>
    </row>
    <row r="2" customFormat="false" ht="15" hidden="false" customHeight="false" outlineLevel="0" collapsed="false">
      <c r="A2" s="2" t="n">
        <v>1</v>
      </c>
      <c r="B2" s="7" t="s">
        <v>68</v>
      </c>
      <c r="C2" s="7" t="s">
        <v>71</v>
      </c>
      <c r="D2" s="7" t="s">
        <v>99</v>
      </c>
      <c r="E2" s="7" t="s">
        <v>100</v>
      </c>
      <c r="F2" s="7"/>
      <c r="G2" s="7" t="s">
        <v>40</v>
      </c>
      <c r="H2" s="7" t="s">
        <v>40</v>
      </c>
      <c r="I2" s="7" t="s">
        <v>74</v>
      </c>
    </row>
    <row r="3" customFormat="false" ht="15" hidden="false" customHeight="false" outlineLevel="0" collapsed="false">
      <c r="A3" s="2" t="n">
        <v>2</v>
      </c>
      <c r="B3" s="7"/>
      <c r="C3" s="7"/>
      <c r="D3" s="7"/>
      <c r="E3" s="7"/>
      <c r="F3" s="7"/>
      <c r="G3" s="7"/>
      <c r="H3" s="7"/>
      <c r="I3" s="7"/>
    </row>
    <row r="4" customFormat="false" ht="15" hidden="false" customHeight="false" outlineLevel="0" collapsed="false">
      <c r="A4" s="2" t="n">
        <v>3</v>
      </c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2" t="n">
        <v>4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2" t="n">
        <v>5</v>
      </c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2" t="n">
        <v>6</v>
      </c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2" t="n">
        <v>7</v>
      </c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2" t="n">
        <v>8</v>
      </c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2" t="n">
        <v>9</v>
      </c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2" t="n">
        <v>10</v>
      </c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2" t="n">
        <v>11</v>
      </c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2" t="n">
        <v>12</v>
      </c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2" t="n">
        <v>13</v>
      </c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2" t="n">
        <v>14</v>
      </c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2" t="n">
        <v>15</v>
      </c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2" t="n">
        <v>16</v>
      </c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2" t="n">
        <v>17</v>
      </c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2" t="n">
        <v>18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2" t="n">
        <v>19</v>
      </c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2" t="n">
        <v>20</v>
      </c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2" t="n">
        <v>21</v>
      </c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2" t="n">
        <v>22</v>
      </c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2" t="n">
        <v>23</v>
      </c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2" t="n">
        <v>24</v>
      </c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2" t="n">
        <v>25</v>
      </c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2" t="n">
        <v>26</v>
      </c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2" t="n">
        <v>27</v>
      </c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2" t="n">
        <v>28</v>
      </c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2" t="n">
        <v>29</v>
      </c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2" t="n">
        <v>30</v>
      </c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false" outlineLevel="0" collapsed="false">
      <c r="A32" s="2" t="n">
        <v>31</v>
      </c>
      <c r="B32" s="7"/>
      <c r="C32" s="7"/>
      <c r="D32" s="7"/>
      <c r="E32" s="7"/>
      <c r="F32" s="7"/>
      <c r="G32" s="7"/>
      <c r="H32" s="7"/>
      <c r="I32" s="7"/>
    </row>
    <row r="33" customFormat="false" ht="15" hidden="false" customHeight="false" outlineLevel="0" collapsed="false">
      <c r="A33" s="2" t="n">
        <v>32</v>
      </c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2" t="n">
        <v>33</v>
      </c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false" outlineLevel="0" collapsed="false">
      <c r="A35" s="2" t="n">
        <v>34</v>
      </c>
      <c r="B35" s="7"/>
      <c r="C35" s="7"/>
      <c r="D35" s="7"/>
      <c r="E35" s="7"/>
      <c r="F35" s="7"/>
      <c r="G35" s="7"/>
      <c r="H35" s="7"/>
      <c r="I35" s="7"/>
    </row>
    <row r="36" customFormat="false" ht="15" hidden="false" customHeight="false" outlineLevel="0" collapsed="false">
      <c r="A36" s="2" t="n">
        <v>35</v>
      </c>
      <c r="B36" s="7"/>
      <c r="C36" s="7"/>
      <c r="D36" s="7"/>
      <c r="E36" s="7"/>
      <c r="F36" s="7"/>
      <c r="G36" s="7"/>
      <c r="H36" s="7"/>
      <c r="I36" s="7"/>
    </row>
    <row r="37" customFormat="false" ht="15" hidden="false" customHeight="false" outlineLevel="0" collapsed="false">
      <c r="A37" s="2" t="n">
        <v>36</v>
      </c>
      <c r="B37" s="7"/>
      <c r="C37" s="7"/>
      <c r="D37" s="7"/>
      <c r="E37" s="7"/>
      <c r="F37" s="7"/>
      <c r="G37" s="7"/>
      <c r="H37" s="7"/>
      <c r="I37" s="7"/>
    </row>
    <row r="38" customFormat="false" ht="15" hidden="false" customHeight="false" outlineLevel="0" collapsed="false">
      <c r="A38" s="2" t="n">
        <v>37</v>
      </c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false" outlineLevel="0" collapsed="false">
      <c r="A39" s="2" t="n">
        <v>38</v>
      </c>
      <c r="B39" s="7"/>
      <c r="C39" s="7"/>
      <c r="D39" s="7"/>
      <c r="E39" s="7"/>
      <c r="F39" s="7"/>
      <c r="G39" s="7"/>
      <c r="H39" s="7"/>
      <c r="I39" s="7"/>
    </row>
    <row r="40" customFormat="false" ht="15" hidden="false" customHeight="false" outlineLevel="0" collapsed="false">
      <c r="A40" s="2" t="n">
        <v>39</v>
      </c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2" t="n">
        <v>40</v>
      </c>
      <c r="B41" s="7"/>
      <c r="C41" s="7"/>
      <c r="D41" s="7"/>
      <c r="E41" s="7"/>
      <c r="F41" s="7"/>
      <c r="G41" s="7"/>
      <c r="H41" s="7"/>
      <c r="I41" s="7"/>
    </row>
    <row r="42" customFormat="false" ht="15" hidden="false" customHeight="false" outlineLevel="0" collapsed="false">
      <c r="A42" s="2" t="n">
        <v>41</v>
      </c>
      <c r="B42" s="7"/>
      <c r="C42" s="7"/>
      <c r="D42" s="7"/>
      <c r="E42" s="7"/>
      <c r="F42" s="7"/>
      <c r="G42" s="7"/>
      <c r="H42" s="7"/>
      <c r="I42" s="7"/>
    </row>
    <row r="43" customFormat="false" ht="15" hidden="false" customHeight="false" outlineLevel="0" collapsed="false">
      <c r="A43" s="2" t="n">
        <v>42</v>
      </c>
      <c r="B43" s="7"/>
      <c r="C43" s="7"/>
      <c r="D43" s="7"/>
      <c r="E43" s="7"/>
      <c r="F43" s="7"/>
      <c r="G43" s="7"/>
      <c r="H43" s="7"/>
      <c r="I43" s="7"/>
    </row>
    <row r="44" customFormat="false" ht="15" hidden="false" customHeight="false" outlineLevel="0" collapsed="false">
      <c r="A44" s="2" t="n">
        <v>43</v>
      </c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false" outlineLevel="0" collapsed="false">
      <c r="A45" s="2" t="n">
        <v>44</v>
      </c>
      <c r="B45" s="7"/>
      <c r="C45" s="7"/>
      <c r="D45" s="7"/>
      <c r="E45" s="7"/>
      <c r="F45" s="7"/>
      <c r="G45" s="7"/>
      <c r="H45" s="7"/>
      <c r="I45" s="7"/>
    </row>
    <row r="46" customFormat="false" ht="15" hidden="false" customHeight="false" outlineLevel="0" collapsed="false">
      <c r="A46" s="2" t="n">
        <v>45</v>
      </c>
      <c r="B46" s="7"/>
      <c r="C46" s="7"/>
      <c r="D46" s="7"/>
      <c r="E46" s="7"/>
      <c r="F46" s="7"/>
      <c r="G46" s="7"/>
      <c r="H46" s="7"/>
      <c r="I46" s="7"/>
    </row>
    <row r="47" customFormat="false" ht="15" hidden="false" customHeight="false" outlineLevel="0" collapsed="false">
      <c r="A47" s="2" t="n">
        <v>46</v>
      </c>
      <c r="B47" s="7"/>
      <c r="C47" s="7"/>
      <c r="D47" s="7"/>
      <c r="E47" s="7"/>
      <c r="F47" s="7"/>
      <c r="G47" s="7"/>
      <c r="H47" s="7"/>
      <c r="I47" s="7"/>
    </row>
    <row r="48" customFormat="false" ht="15" hidden="false" customHeight="false" outlineLevel="0" collapsed="false">
      <c r="A48" s="2" t="n">
        <v>47</v>
      </c>
      <c r="B48" s="7"/>
      <c r="C48" s="7"/>
      <c r="D48" s="7"/>
      <c r="E48" s="7"/>
      <c r="F48" s="7"/>
      <c r="G48" s="7"/>
      <c r="H48" s="7"/>
      <c r="I48" s="7"/>
    </row>
    <row r="49" customFormat="false" ht="15" hidden="false" customHeight="false" outlineLevel="0" collapsed="false">
      <c r="A49" s="2" t="n">
        <v>48</v>
      </c>
      <c r="B49" s="7"/>
      <c r="C49" s="7"/>
      <c r="D49" s="7"/>
      <c r="E49" s="7"/>
      <c r="F49" s="7"/>
      <c r="G49" s="7"/>
      <c r="H49" s="7"/>
      <c r="I49" s="7"/>
    </row>
    <row r="50" customFormat="false" ht="15" hidden="false" customHeight="false" outlineLevel="0" collapsed="false">
      <c r="A50" s="2" t="n">
        <v>49</v>
      </c>
      <c r="B50" s="7"/>
      <c r="C50" s="7"/>
      <c r="D50" s="7"/>
      <c r="E50" s="7"/>
      <c r="F50" s="7"/>
      <c r="G50" s="7"/>
      <c r="H50" s="7"/>
      <c r="I50" s="7"/>
    </row>
    <row r="51" customFormat="false" ht="15" hidden="false" customHeight="false" outlineLevel="0" collapsed="false">
      <c r="A51" s="2" t="n">
        <v>50</v>
      </c>
      <c r="B51" s="7"/>
      <c r="C51" s="7"/>
      <c r="D51" s="7"/>
      <c r="E51" s="7"/>
      <c r="F51" s="7"/>
      <c r="G51" s="7"/>
      <c r="H51" s="7"/>
      <c r="I51" s="7"/>
    </row>
    <row r="52" customFormat="false" ht="15" hidden="false" customHeight="false" outlineLevel="0" collapsed="false">
      <c r="A52" s="2" t="n">
        <v>51</v>
      </c>
      <c r="B52" s="7"/>
      <c r="C52" s="7"/>
      <c r="D52" s="7"/>
      <c r="E52" s="7"/>
      <c r="F52" s="7"/>
      <c r="G52" s="7"/>
      <c r="H52" s="7"/>
      <c r="I52" s="7"/>
    </row>
    <row r="53" customFormat="false" ht="15" hidden="false" customHeight="false" outlineLevel="0" collapsed="false">
      <c r="A53" s="2" t="n">
        <v>52</v>
      </c>
      <c r="B53" s="7"/>
      <c r="C53" s="7"/>
      <c r="D53" s="7"/>
      <c r="E53" s="7"/>
      <c r="F53" s="7"/>
      <c r="G53" s="7"/>
      <c r="H53" s="7"/>
      <c r="I53" s="7"/>
    </row>
    <row r="54" customFormat="false" ht="15" hidden="false" customHeight="false" outlineLevel="0" collapsed="false">
      <c r="A54" s="2" t="n">
        <v>53</v>
      </c>
      <c r="B54" s="7"/>
      <c r="C54" s="7"/>
      <c r="D54" s="7"/>
      <c r="E54" s="7"/>
      <c r="F54" s="7"/>
      <c r="G54" s="7"/>
      <c r="H54" s="7"/>
      <c r="I54" s="7"/>
    </row>
    <row r="55" customFormat="false" ht="15" hidden="false" customHeight="false" outlineLevel="0" collapsed="false">
      <c r="A55" s="2" t="n">
        <v>54</v>
      </c>
      <c r="B55" s="7"/>
      <c r="C55" s="7"/>
      <c r="D55" s="7"/>
      <c r="E55" s="7"/>
      <c r="F55" s="7"/>
      <c r="G55" s="7"/>
      <c r="H55" s="7"/>
      <c r="I55" s="7"/>
    </row>
    <row r="56" customFormat="false" ht="15" hidden="false" customHeight="false" outlineLevel="0" collapsed="false">
      <c r="A56" s="2" t="n">
        <v>55</v>
      </c>
      <c r="B56" s="7"/>
      <c r="C56" s="7"/>
      <c r="D56" s="7"/>
      <c r="E56" s="7"/>
      <c r="F56" s="7"/>
      <c r="G56" s="7"/>
      <c r="H56" s="7"/>
      <c r="I56" s="7"/>
    </row>
    <row r="57" customFormat="false" ht="15" hidden="false" customHeight="false" outlineLevel="0" collapsed="false">
      <c r="A57" s="2" t="n">
        <v>56</v>
      </c>
      <c r="B57" s="7"/>
      <c r="C57" s="7"/>
      <c r="D57" s="7"/>
      <c r="E57" s="7"/>
      <c r="F57" s="7"/>
      <c r="G57" s="7"/>
      <c r="H57" s="7"/>
      <c r="I57" s="7"/>
    </row>
    <row r="58" customFormat="false" ht="15" hidden="false" customHeight="false" outlineLevel="0" collapsed="false">
      <c r="A58" s="2" t="n">
        <v>57</v>
      </c>
      <c r="B58" s="7"/>
      <c r="C58" s="7"/>
      <c r="D58" s="7"/>
      <c r="E58" s="7"/>
      <c r="F58" s="7"/>
      <c r="G58" s="7"/>
      <c r="H58" s="7"/>
      <c r="I58" s="7"/>
    </row>
    <row r="59" customFormat="false" ht="15" hidden="false" customHeight="false" outlineLevel="0" collapsed="false">
      <c r="A59" s="2" t="n">
        <v>58</v>
      </c>
      <c r="B59" s="7"/>
      <c r="C59" s="7"/>
      <c r="D59" s="7"/>
      <c r="E59" s="7"/>
      <c r="F59" s="7"/>
      <c r="G59" s="7"/>
      <c r="H59" s="7"/>
      <c r="I59" s="7"/>
    </row>
    <row r="60" customFormat="false" ht="15" hidden="false" customHeight="false" outlineLevel="0" collapsed="false">
      <c r="A60" s="2" t="n">
        <v>59</v>
      </c>
      <c r="B60" s="7"/>
      <c r="C60" s="7"/>
      <c r="D60" s="7"/>
      <c r="E60" s="7"/>
      <c r="F60" s="7"/>
      <c r="G60" s="7"/>
      <c r="H60" s="7"/>
      <c r="I60" s="7"/>
    </row>
    <row r="61" customFormat="false" ht="15" hidden="false" customHeight="false" outlineLevel="0" collapsed="false">
      <c r="A61" s="2" t="n">
        <v>60</v>
      </c>
      <c r="B61" s="7"/>
      <c r="C61" s="7"/>
      <c r="D61" s="7"/>
      <c r="E61" s="7"/>
      <c r="F61" s="7"/>
      <c r="G61" s="7"/>
      <c r="H61" s="7"/>
      <c r="I61" s="7"/>
    </row>
    <row r="62" customFormat="false" ht="15" hidden="false" customHeight="false" outlineLevel="0" collapsed="false">
      <c r="A62" s="2" t="n">
        <v>61</v>
      </c>
      <c r="B62" s="7"/>
      <c r="C62" s="7"/>
      <c r="D62" s="7"/>
      <c r="E62" s="7"/>
      <c r="F62" s="7"/>
      <c r="G62" s="7"/>
      <c r="H62" s="7"/>
      <c r="I62" s="7"/>
    </row>
    <row r="63" customFormat="false" ht="15" hidden="false" customHeight="false" outlineLevel="0" collapsed="false">
      <c r="A63" s="2" t="n">
        <v>62</v>
      </c>
      <c r="B63" s="7"/>
      <c r="C63" s="7"/>
      <c r="D63" s="7"/>
      <c r="E63" s="7"/>
      <c r="F63" s="7"/>
      <c r="G63" s="7"/>
      <c r="H63" s="7"/>
      <c r="I63" s="7"/>
    </row>
    <row r="64" customFormat="false" ht="15" hidden="false" customHeight="false" outlineLevel="0" collapsed="false">
      <c r="A64" s="2" t="n">
        <v>63</v>
      </c>
      <c r="B64" s="7"/>
      <c r="C64" s="7"/>
      <c r="D64" s="7"/>
      <c r="E64" s="7"/>
      <c r="F64" s="7"/>
      <c r="G64" s="7"/>
      <c r="H64" s="7"/>
      <c r="I64" s="7"/>
    </row>
    <row r="65" customFormat="false" ht="15" hidden="false" customHeight="false" outlineLevel="0" collapsed="false">
      <c r="A65" s="2" t="n">
        <v>64</v>
      </c>
      <c r="B65" s="7"/>
      <c r="C65" s="7"/>
      <c r="D65" s="7"/>
      <c r="E65" s="7"/>
      <c r="F65" s="7"/>
      <c r="G65" s="7"/>
      <c r="H65" s="7"/>
      <c r="I65" s="7"/>
    </row>
    <row r="66" customFormat="false" ht="15" hidden="false" customHeight="false" outlineLevel="0" collapsed="false">
      <c r="A66" s="2" t="n">
        <v>65</v>
      </c>
      <c r="B66" s="7"/>
      <c r="C66" s="7"/>
      <c r="D66" s="7"/>
      <c r="E66" s="7"/>
      <c r="F66" s="7"/>
      <c r="G66" s="7"/>
      <c r="H66" s="7"/>
      <c r="I66" s="7"/>
    </row>
    <row r="67" customFormat="false" ht="15" hidden="false" customHeight="false" outlineLevel="0" collapsed="false">
      <c r="A67" s="2" t="n">
        <v>66</v>
      </c>
      <c r="B67" s="7"/>
      <c r="C67" s="7"/>
      <c r="D67" s="7"/>
      <c r="E67" s="7"/>
      <c r="F67" s="7"/>
      <c r="G67" s="7"/>
      <c r="H67" s="7"/>
      <c r="I67" s="7"/>
    </row>
    <row r="68" customFormat="false" ht="15" hidden="false" customHeight="false" outlineLevel="0" collapsed="false">
      <c r="A68" s="2" t="n">
        <v>67</v>
      </c>
      <c r="B68" s="7"/>
      <c r="C68" s="7"/>
      <c r="D68" s="7"/>
      <c r="E68" s="7"/>
      <c r="F68" s="7"/>
      <c r="G68" s="7"/>
      <c r="H68" s="7"/>
      <c r="I68" s="7"/>
    </row>
    <row r="69" customFormat="false" ht="15" hidden="false" customHeight="false" outlineLevel="0" collapsed="false">
      <c r="A69" s="2" t="n">
        <v>68</v>
      </c>
      <c r="B69" s="7"/>
      <c r="C69" s="7"/>
      <c r="D69" s="7"/>
      <c r="E69" s="7"/>
      <c r="F69" s="7"/>
      <c r="G69" s="7"/>
      <c r="H69" s="7"/>
      <c r="I69" s="7"/>
    </row>
    <row r="70" customFormat="false" ht="15" hidden="false" customHeight="false" outlineLevel="0" collapsed="false">
      <c r="A70" s="2" t="n">
        <v>69</v>
      </c>
      <c r="B70" s="7"/>
      <c r="C70" s="7"/>
      <c r="D70" s="7"/>
      <c r="E70" s="7"/>
      <c r="F70" s="7"/>
      <c r="G70" s="7"/>
      <c r="H70" s="7"/>
      <c r="I70" s="7"/>
    </row>
    <row r="71" customFormat="false" ht="15" hidden="false" customHeight="false" outlineLevel="0" collapsed="false">
      <c r="A71" s="2" t="n">
        <v>70</v>
      </c>
      <c r="B71" s="7"/>
      <c r="C71" s="7"/>
      <c r="D71" s="7"/>
      <c r="E71" s="7"/>
      <c r="F71" s="7"/>
      <c r="G71" s="7"/>
      <c r="H71" s="7"/>
      <c r="I71" s="7"/>
    </row>
    <row r="72" customFormat="false" ht="15" hidden="false" customHeight="false" outlineLevel="0" collapsed="false">
      <c r="A72" s="2" t="n">
        <v>71</v>
      </c>
      <c r="B72" s="7"/>
      <c r="C72" s="7"/>
      <c r="D72" s="7"/>
      <c r="E72" s="7"/>
      <c r="F72" s="7"/>
      <c r="G72" s="7"/>
      <c r="H72" s="7"/>
      <c r="I72" s="7"/>
    </row>
    <row r="73" customFormat="false" ht="15" hidden="false" customHeight="false" outlineLevel="0" collapsed="false">
      <c r="A73" s="2" t="n">
        <v>72</v>
      </c>
      <c r="B73" s="7"/>
      <c r="C73" s="7"/>
      <c r="D73" s="7"/>
      <c r="E73" s="7"/>
      <c r="F73" s="7"/>
      <c r="G73" s="7"/>
      <c r="H73" s="7"/>
      <c r="I73" s="7"/>
    </row>
    <row r="74" customFormat="false" ht="15" hidden="false" customHeight="false" outlineLevel="0" collapsed="false">
      <c r="A74" s="2" t="n">
        <v>73</v>
      </c>
      <c r="B74" s="7"/>
      <c r="C74" s="7"/>
      <c r="D74" s="7"/>
      <c r="E74" s="7"/>
      <c r="F74" s="7"/>
      <c r="G74" s="7"/>
      <c r="H74" s="7"/>
      <c r="I74" s="7"/>
    </row>
    <row r="75" customFormat="false" ht="15" hidden="false" customHeight="false" outlineLevel="0" collapsed="false">
      <c r="A75" s="2" t="n">
        <v>74</v>
      </c>
      <c r="B75" s="7"/>
      <c r="C75" s="7"/>
      <c r="D75" s="7"/>
      <c r="E75" s="7"/>
      <c r="F75" s="7"/>
      <c r="G75" s="7"/>
      <c r="H75" s="7"/>
      <c r="I75" s="7"/>
    </row>
    <row r="76" customFormat="false" ht="15" hidden="false" customHeight="false" outlineLevel="0" collapsed="false">
      <c r="A76" s="2" t="n">
        <v>75</v>
      </c>
      <c r="B76" s="7"/>
      <c r="C76" s="7"/>
      <c r="D76" s="7"/>
      <c r="E76" s="7"/>
      <c r="F76" s="7"/>
      <c r="G76" s="7"/>
      <c r="H76" s="7"/>
      <c r="I76" s="7"/>
    </row>
    <row r="77" customFormat="false" ht="15" hidden="false" customHeight="false" outlineLevel="0" collapsed="false">
      <c r="A77" s="2" t="n">
        <v>76</v>
      </c>
      <c r="B77" s="7"/>
      <c r="C77" s="7"/>
      <c r="D77" s="7"/>
      <c r="E77" s="7"/>
      <c r="F77" s="7"/>
      <c r="G77" s="7"/>
      <c r="H77" s="7"/>
      <c r="I77" s="7"/>
    </row>
    <row r="78" customFormat="false" ht="15" hidden="false" customHeight="false" outlineLevel="0" collapsed="false">
      <c r="A78" s="2" t="n">
        <v>77</v>
      </c>
      <c r="B78" s="7"/>
      <c r="C78" s="7"/>
      <c r="D78" s="7"/>
      <c r="E78" s="7"/>
      <c r="F78" s="7"/>
      <c r="G78" s="7"/>
      <c r="H78" s="7"/>
      <c r="I78" s="7"/>
    </row>
    <row r="79" customFormat="false" ht="15" hidden="false" customHeight="false" outlineLevel="0" collapsed="false">
      <c r="A79" s="2" t="n">
        <v>78</v>
      </c>
      <c r="B79" s="7"/>
      <c r="C79" s="7"/>
      <c r="D79" s="7"/>
      <c r="E79" s="7"/>
      <c r="F79" s="7"/>
      <c r="G79" s="7"/>
      <c r="H79" s="7"/>
      <c r="I79" s="7"/>
    </row>
    <row r="80" customFormat="false" ht="15" hidden="false" customHeight="false" outlineLevel="0" collapsed="false">
      <c r="A80" s="2" t="n">
        <v>79</v>
      </c>
      <c r="B80" s="7"/>
      <c r="C80" s="7"/>
      <c r="D80" s="7"/>
      <c r="E80" s="7"/>
      <c r="F80" s="7"/>
      <c r="G80" s="7"/>
      <c r="H80" s="7"/>
      <c r="I80" s="7"/>
    </row>
    <row r="81" customFormat="false" ht="15" hidden="false" customHeight="false" outlineLevel="0" collapsed="false">
      <c r="A81" s="2" t="n">
        <v>80</v>
      </c>
      <c r="B81" s="7"/>
      <c r="C81" s="7"/>
      <c r="D81" s="7"/>
      <c r="E81" s="7"/>
      <c r="F81" s="7"/>
      <c r="G81" s="7"/>
      <c r="H81" s="7"/>
      <c r="I81" s="7"/>
    </row>
    <row r="82" customFormat="false" ht="15" hidden="false" customHeight="false" outlineLevel="0" collapsed="false">
      <c r="A82" s="2" t="n">
        <v>81</v>
      </c>
      <c r="B82" s="7"/>
      <c r="C82" s="7"/>
      <c r="D82" s="7"/>
      <c r="E82" s="7"/>
      <c r="F82" s="7"/>
      <c r="G82" s="7"/>
      <c r="H82" s="7"/>
      <c r="I82" s="7"/>
    </row>
    <row r="83" customFormat="false" ht="15" hidden="false" customHeight="false" outlineLevel="0" collapsed="false">
      <c r="A83" s="2" t="n">
        <v>82</v>
      </c>
      <c r="B83" s="7"/>
      <c r="C83" s="7"/>
      <c r="D83" s="7"/>
      <c r="E83" s="7"/>
      <c r="F83" s="7"/>
      <c r="G83" s="7"/>
      <c r="H83" s="7"/>
      <c r="I83" s="7"/>
    </row>
    <row r="84" customFormat="false" ht="15" hidden="false" customHeight="false" outlineLevel="0" collapsed="false">
      <c r="A84" s="2" t="n">
        <v>83</v>
      </c>
      <c r="B84" s="7"/>
      <c r="C84" s="7"/>
      <c r="D84" s="7"/>
      <c r="E84" s="7"/>
      <c r="F84" s="7"/>
      <c r="G84" s="7"/>
      <c r="H84" s="7"/>
      <c r="I84" s="7"/>
    </row>
    <row r="85" customFormat="false" ht="15" hidden="false" customHeight="false" outlineLevel="0" collapsed="false">
      <c r="A85" s="2" t="n">
        <v>84</v>
      </c>
      <c r="B85" s="7"/>
      <c r="C85" s="7"/>
      <c r="D85" s="7"/>
      <c r="E85" s="7"/>
      <c r="F85" s="7"/>
      <c r="G85" s="7"/>
      <c r="H85" s="7"/>
      <c r="I85" s="7"/>
    </row>
    <row r="86" customFormat="false" ht="15" hidden="false" customHeight="false" outlineLevel="0" collapsed="false">
      <c r="A86" s="2" t="n">
        <v>85</v>
      </c>
      <c r="B86" s="7"/>
      <c r="C86" s="7"/>
      <c r="D86" s="7"/>
      <c r="E86" s="7"/>
      <c r="F86" s="7"/>
      <c r="G86" s="7"/>
      <c r="H86" s="7"/>
      <c r="I86" s="7"/>
    </row>
    <row r="87" customFormat="false" ht="15" hidden="false" customHeight="false" outlineLevel="0" collapsed="false">
      <c r="A87" s="2" t="n">
        <v>86</v>
      </c>
      <c r="B87" s="7"/>
      <c r="C87" s="7"/>
      <c r="D87" s="7"/>
      <c r="E87" s="7"/>
      <c r="F87" s="7"/>
      <c r="G87" s="7"/>
      <c r="H87" s="7"/>
      <c r="I87" s="7"/>
    </row>
    <row r="88" customFormat="false" ht="15" hidden="false" customHeight="false" outlineLevel="0" collapsed="false">
      <c r="A88" s="2" t="n">
        <v>87</v>
      </c>
      <c r="B88" s="7"/>
      <c r="C88" s="7"/>
      <c r="D88" s="7"/>
      <c r="E88" s="7"/>
      <c r="F88" s="7"/>
      <c r="G88" s="7"/>
      <c r="H88" s="7"/>
      <c r="I88" s="7"/>
    </row>
    <row r="89" customFormat="false" ht="15" hidden="false" customHeight="false" outlineLevel="0" collapsed="false">
      <c r="A89" s="2" t="n">
        <v>88</v>
      </c>
      <c r="B89" s="7"/>
      <c r="C89" s="7"/>
      <c r="D89" s="7"/>
      <c r="E89" s="7"/>
      <c r="F89" s="7"/>
      <c r="G89" s="7"/>
      <c r="H89" s="7"/>
      <c r="I89" s="7"/>
    </row>
    <row r="90" customFormat="false" ht="15" hidden="false" customHeight="false" outlineLevel="0" collapsed="false">
      <c r="A90" s="2" t="n">
        <v>89</v>
      </c>
      <c r="B90" s="7"/>
      <c r="C90" s="7"/>
      <c r="D90" s="7"/>
      <c r="E90" s="7"/>
      <c r="F90" s="7"/>
      <c r="G90" s="7"/>
      <c r="H90" s="7"/>
      <c r="I90" s="7"/>
    </row>
    <row r="91" customFormat="false" ht="15" hidden="false" customHeight="false" outlineLevel="0" collapsed="false">
      <c r="A91" s="2" t="n">
        <v>90</v>
      </c>
      <c r="B91" s="7"/>
      <c r="C91" s="7"/>
      <c r="D91" s="7"/>
      <c r="E91" s="7"/>
      <c r="F91" s="7"/>
      <c r="G91" s="7"/>
      <c r="H91" s="7"/>
      <c r="I91" s="7"/>
    </row>
    <row r="92" customFormat="false" ht="15" hidden="false" customHeight="false" outlineLevel="0" collapsed="false">
      <c r="A92" s="2" t="n">
        <v>91</v>
      </c>
      <c r="B92" s="7"/>
      <c r="C92" s="7"/>
      <c r="D92" s="7"/>
      <c r="E92" s="7"/>
      <c r="F92" s="7"/>
      <c r="G92" s="7"/>
      <c r="H92" s="7"/>
      <c r="I92" s="7"/>
    </row>
    <row r="93" customFormat="false" ht="15" hidden="false" customHeight="false" outlineLevel="0" collapsed="false">
      <c r="A93" s="2" t="n">
        <v>92</v>
      </c>
      <c r="B93" s="7"/>
      <c r="C93" s="7"/>
      <c r="D93" s="7"/>
      <c r="E93" s="7"/>
      <c r="F93" s="7"/>
      <c r="G93" s="7"/>
      <c r="H93" s="7"/>
      <c r="I93" s="7"/>
    </row>
    <row r="94" customFormat="false" ht="15" hidden="false" customHeight="false" outlineLevel="0" collapsed="false">
      <c r="A94" s="2" t="n">
        <v>93</v>
      </c>
      <c r="B94" s="7"/>
      <c r="C94" s="7"/>
      <c r="D94" s="7"/>
      <c r="E94" s="7"/>
      <c r="F94" s="7"/>
      <c r="G94" s="7"/>
      <c r="H94" s="7"/>
      <c r="I94" s="7"/>
    </row>
    <row r="95" customFormat="false" ht="15" hidden="false" customHeight="false" outlineLevel="0" collapsed="false">
      <c r="A95" s="2" t="n">
        <v>94</v>
      </c>
      <c r="B95" s="7"/>
      <c r="C95" s="7"/>
      <c r="D95" s="7"/>
      <c r="E95" s="7"/>
      <c r="F95" s="7"/>
      <c r="G95" s="7"/>
      <c r="H95" s="7"/>
      <c r="I95" s="7"/>
    </row>
    <row r="96" customFormat="false" ht="15" hidden="false" customHeight="false" outlineLevel="0" collapsed="false">
      <c r="A96" s="2" t="n">
        <v>95</v>
      </c>
      <c r="B96" s="7"/>
      <c r="C96" s="7"/>
      <c r="D96" s="7"/>
      <c r="E96" s="7"/>
      <c r="F96" s="7"/>
      <c r="G96" s="7"/>
      <c r="H96" s="7"/>
      <c r="I96" s="7"/>
    </row>
    <row r="97" customFormat="false" ht="15" hidden="false" customHeight="false" outlineLevel="0" collapsed="false">
      <c r="A97" s="2" t="n">
        <v>96</v>
      </c>
      <c r="B97" s="7"/>
      <c r="C97" s="7"/>
      <c r="D97" s="7"/>
      <c r="E97" s="7"/>
      <c r="F97" s="7"/>
      <c r="G97" s="7"/>
      <c r="H97" s="7"/>
      <c r="I97" s="7"/>
    </row>
    <row r="98" customFormat="false" ht="15" hidden="false" customHeight="false" outlineLevel="0" collapsed="false">
      <c r="A98" s="2" t="n">
        <v>97</v>
      </c>
      <c r="B98" s="7"/>
      <c r="C98" s="7"/>
      <c r="D98" s="7"/>
      <c r="E98" s="7"/>
      <c r="F98" s="7"/>
      <c r="G98" s="7"/>
      <c r="H98" s="7"/>
      <c r="I98" s="7"/>
    </row>
    <row r="99" customFormat="false" ht="15" hidden="false" customHeight="false" outlineLevel="0" collapsed="false">
      <c r="A99" s="2" t="n">
        <v>98</v>
      </c>
      <c r="B99" s="7"/>
      <c r="C99" s="7"/>
      <c r="D99" s="7"/>
      <c r="E99" s="7"/>
      <c r="F99" s="7"/>
      <c r="G99" s="7"/>
      <c r="H99" s="7"/>
      <c r="I99" s="7"/>
    </row>
    <row r="100" customFormat="false" ht="15" hidden="false" customHeight="false" outlineLevel="0" collapsed="false">
      <c r="A100" s="2" t="n">
        <v>99</v>
      </c>
      <c r="B100" s="7"/>
      <c r="C100" s="7"/>
      <c r="D100" s="7"/>
      <c r="E100" s="7"/>
      <c r="F100" s="7"/>
      <c r="G100" s="7"/>
      <c r="H100" s="7"/>
      <c r="I100" s="7"/>
    </row>
    <row r="101" customFormat="false" ht="15" hidden="false" customHeight="false" outlineLevel="0" collapsed="false">
      <c r="A101" s="2" t="n">
        <v>100</v>
      </c>
      <c r="B101" s="7"/>
      <c r="C101" s="7"/>
      <c r="D101" s="7"/>
      <c r="E101" s="7"/>
      <c r="F101" s="7"/>
      <c r="G101" s="7"/>
      <c r="H101" s="7"/>
      <c r="I101" s="7"/>
    </row>
    <row r="102" customFormat="false" ht="15" hidden="false" customHeight="false" outlineLevel="0" collapsed="false">
      <c r="A102" s="2" t="n">
        <v>101</v>
      </c>
      <c r="B102" s="7"/>
      <c r="C102" s="7"/>
      <c r="D102" s="7"/>
      <c r="E102" s="7"/>
      <c r="F102" s="7"/>
      <c r="G102" s="7"/>
      <c r="H102" s="7"/>
      <c r="I102" s="7"/>
    </row>
    <row r="103" customFormat="false" ht="15" hidden="false" customHeight="false" outlineLevel="0" collapsed="false">
      <c r="A103" s="2" t="n">
        <v>102</v>
      </c>
      <c r="B103" s="7"/>
      <c r="C103" s="7"/>
      <c r="D103" s="7"/>
      <c r="E103" s="7"/>
      <c r="F103" s="7"/>
      <c r="G103" s="7"/>
      <c r="H103" s="7"/>
      <c r="I103" s="7"/>
    </row>
    <row r="104" customFormat="false" ht="15" hidden="false" customHeight="false" outlineLevel="0" collapsed="false">
      <c r="A104" s="2" t="n">
        <v>103</v>
      </c>
      <c r="B104" s="7"/>
      <c r="C104" s="7"/>
      <c r="D104" s="7"/>
      <c r="E104" s="7"/>
      <c r="F104" s="7"/>
      <c r="G104" s="7"/>
      <c r="H104" s="7"/>
      <c r="I104" s="7"/>
    </row>
    <row r="105" customFormat="false" ht="15" hidden="false" customHeight="false" outlineLevel="0" collapsed="false">
      <c r="A105" s="2" t="n">
        <v>104</v>
      </c>
      <c r="B105" s="7"/>
      <c r="C105" s="7"/>
      <c r="D105" s="7"/>
      <c r="E105" s="7"/>
      <c r="F105" s="7"/>
      <c r="G105" s="7"/>
      <c r="H105" s="7"/>
      <c r="I105" s="7"/>
    </row>
    <row r="106" customFormat="false" ht="15" hidden="false" customHeight="false" outlineLevel="0" collapsed="false">
      <c r="A106" s="2" t="n">
        <v>105</v>
      </c>
      <c r="B106" s="7"/>
      <c r="C106" s="7"/>
      <c r="D106" s="7"/>
      <c r="E106" s="7"/>
      <c r="F106" s="7"/>
      <c r="G106" s="7"/>
      <c r="H106" s="7"/>
      <c r="I106" s="7"/>
    </row>
    <row r="107" customFormat="false" ht="15" hidden="false" customHeight="false" outlineLevel="0" collapsed="false">
      <c r="A107" s="2" t="n">
        <v>106</v>
      </c>
      <c r="B107" s="7"/>
      <c r="C107" s="7"/>
      <c r="D107" s="7"/>
      <c r="E107" s="7"/>
      <c r="F107" s="7"/>
      <c r="G107" s="7"/>
      <c r="H107" s="7"/>
      <c r="I107" s="7"/>
    </row>
    <row r="108" customFormat="false" ht="15" hidden="false" customHeight="false" outlineLevel="0" collapsed="false">
      <c r="A108" s="2" t="n">
        <v>107</v>
      </c>
      <c r="B108" s="7"/>
      <c r="C108" s="7"/>
      <c r="D108" s="7"/>
      <c r="E108" s="7"/>
      <c r="F108" s="7"/>
      <c r="G108" s="7"/>
      <c r="H108" s="7"/>
      <c r="I108" s="7"/>
    </row>
    <row r="109" customFormat="false" ht="15" hidden="false" customHeight="false" outlineLevel="0" collapsed="false">
      <c r="A109" s="2" t="n">
        <v>108</v>
      </c>
      <c r="B109" s="7"/>
      <c r="C109" s="7"/>
      <c r="D109" s="7"/>
      <c r="E109" s="7"/>
      <c r="F109" s="7"/>
      <c r="G109" s="7"/>
      <c r="H109" s="7"/>
      <c r="I109" s="7"/>
    </row>
    <row r="110" customFormat="false" ht="15" hidden="false" customHeight="false" outlineLevel="0" collapsed="false">
      <c r="A110" s="2" t="n">
        <v>109</v>
      </c>
      <c r="B110" s="7"/>
      <c r="C110" s="7"/>
      <c r="D110" s="7"/>
      <c r="E110" s="7"/>
      <c r="F110" s="7"/>
      <c r="G110" s="7"/>
      <c r="H110" s="7"/>
      <c r="I110" s="7"/>
    </row>
    <row r="111" customFormat="false" ht="15" hidden="false" customHeight="false" outlineLevel="0" collapsed="false">
      <c r="A111" s="2" t="n">
        <v>110</v>
      </c>
      <c r="B111" s="7"/>
      <c r="C111" s="7"/>
      <c r="D111" s="7"/>
      <c r="E111" s="7"/>
      <c r="F111" s="7"/>
      <c r="G111" s="7"/>
      <c r="H111" s="7"/>
      <c r="I111" s="7"/>
    </row>
    <row r="112" customFormat="false" ht="15" hidden="false" customHeight="false" outlineLevel="0" collapsed="false">
      <c r="A112" s="2" t="n">
        <v>111</v>
      </c>
      <c r="B112" s="7"/>
      <c r="C112" s="7"/>
      <c r="D112" s="7"/>
      <c r="E112" s="7"/>
      <c r="F112" s="7"/>
      <c r="G112" s="7"/>
      <c r="H112" s="7"/>
      <c r="I112" s="7"/>
    </row>
    <row r="113" customFormat="false" ht="15" hidden="false" customHeight="false" outlineLevel="0" collapsed="false">
      <c r="A113" s="2" t="n">
        <v>112</v>
      </c>
      <c r="B113" s="7"/>
      <c r="C113" s="7"/>
      <c r="D113" s="7"/>
      <c r="E113" s="7"/>
      <c r="F113" s="7"/>
      <c r="G113" s="7"/>
      <c r="H113" s="7"/>
      <c r="I113" s="7"/>
    </row>
    <row r="114" customFormat="false" ht="15" hidden="false" customHeight="false" outlineLevel="0" collapsed="false">
      <c r="A114" s="2" t="n">
        <v>113</v>
      </c>
      <c r="B114" s="7"/>
      <c r="C114" s="7"/>
      <c r="D114" s="7"/>
      <c r="E114" s="7"/>
      <c r="F114" s="7"/>
      <c r="G114" s="7"/>
      <c r="H114" s="7"/>
      <c r="I114" s="7"/>
    </row>
    <row r="115" customFormat="false" ht="15" hidden="false" customHeight="false" outlineLevel="0" collapsed="false">
      <c r="A115" s="2" t="n">
        <v>114</v>
      </c>
      <c r="B115" s="7"/>
      <c r="C115" s="7"/>
      <c r="D115" s="7"/>
      <c r="E115" s="7"/>
      <c r="F115" s="7"/>
      <c r="G115" s="7"/>
      <c r="H115" s="7"/>
      <c r="I115" s="7"/>
    </row>
    <row r="116" customFormat="false" ht="15" hidden="false" customHeight="false" outlineLevel="0" collapsed="false">
      <c r="A116" s="2" t="n">
        <v>115</v>
      </c>
      <c r="B116" s="7"/>
      <c r="C116" s="7"/>
      <c r="D116" s="7"/>
      <c r="E116" s="7"/>
      <c r="F116" s="7"/>
      <c r="G116" s="7"/>
      <c r="H116" s="7"/>
      <c r="I116" s="7"/>
    </row>
    <row r="117" customFormat="false" ht="15" hidden="false" customHeight="false" outlineLevel="0" collapsed="false">
      <c r="A117" s="2" t="n">
        <v>116</v>
      </c>
      <c r="B117" s="7"/>
      <c r="C117" s="7"/>
      <c r="D117" s="7"/>
      <c r="E117" s="7"/>
      <c r="F117" s="7"/>
      <c r="G117" s="7"/>
      <c r="H117" s="7"/>
      <c r="I117" s="7"/>
    </row>
    <row r="118" customFormat="false" ht="15" hidden="false" customHeight="false" outlineLevel="0" collapsed="false">
      <c r="A118" s="2" t="n">
        <v>117</v>
      </c>
      <c r="B118" s="7"/>
      <c r="C118" s="7"/>
      <c r="D118" s="7"/>
      <c r="E118" s="7"/>
      <c r="F118" s="7"/>
      <c r="G118" s="7"/>
      <c r="H118" s="7"/>
      <c r="I118" s="7"/>
    </row>
    <row r="119" customFormat="false" ht="15" hidden="false" customHeight="false" outlineLevel="0" collapsed="false">
      <c r="A119" s="2" t="n">
        <v>118</v>
      </c>
      <c r="B119" s="7"/>
      <c r="C119" s="7"/>
      <c r="D119" s="7"/>
      <c r="E119" s="7"/>
      <c r="F119" s="7"/>
      <c r="G119" s="7"/>
      <c r="H119" s="7"/>
      <c r="I119" s="7"/>
    </row>
    <row r="120" customFormat="false" ht="15" hidden="false" customHeight="false" outlineLevel="0" collapsed="false">
      <c r="A120" s="2" t="n">
        <v>119</v>
      </c>
      <c r="B120" s="7"/>
      <c r="C120" s="7"/>
      <c r="D120" s="7"/>
      <c r="E120" s="7"/>
      <c r="F120" s="7"/>
      <c r="G120" s="7"/>
      <c r="H120" s="7"/>
      <c r="I120" s="7"/>
    </row>
    <row r="121" customFormat="false" ht="15" hidden="false" customHeight="false" outlineLevel="0" collapsed="false">
      <c r="A121" s="2" t="n">
        <v>120</v>
      </c>
      <c r="B121" s="7"/>
      <c r="C121" s="7"/>
      <c r="D121" s="7"/>
      <c r="E121" s="7"/>
      <c r="F121" s="7"/>
      <c r="G121" s="7"/>
      <c r="H121" s="7"/>
      <c r="I121" s="7"/>
    </row>
    <row r="122" customFormat="false" ht="15" hidden="false" customHeight="false" outlineLevel="0" collapsed="false">
      <c r="A122" s="2" t="n">
        <v>121</v>
      </c>
      <c r="B122" s="7"/>
      <c r="C122" s="7"/>
      <c r="D122" s="7"/>
      <c r="E122" s="7"/>
      <c r="F122" s="7"/>
      <c r="G122" s="7"/>
      <c r="H122" s="7"/>
      <c r="I122" s="7"/>
    </row>
    <row r="123" customFormat="false" ht="15" hidden="false" customHeight="false" outlineLevel="0" collapsed="false">
      <c r="A123" s="2" t="n">
        <v>122</v>
      </c>
      <c r="B123" s="7"/>
      <c r="C123" s="7"/>
      <c r="D123" s="7"/>
      <c r="E123" s="7"/>
      <c r="F123" s="7"/>
      <c r="G123" s="7"/>
      <c r="H123" s="7"/>
      <c r="I123" s="7"/>
    </row>
    <row r="124" customFormat="false" ht="15" hidden="false" customHeight="false" outlineLevel="0" collapsed="false">
      <c r="A124" s="2" t="n">
        <v>123</v>
      </c>
      <c r="B124" s="7"/>
      <c r="C124" s="7"/>
      <c r="D124" s="7"/>
      <c r="E124" s="7"/>
      <c r="F124" s="7"/>
      <c r="G124" s="7"/>
      <c r="H124" s="7"/>
      <c r="I124" s="7"/>
    </row>
    <row r="125" customFormat="false" ht="15" hidden="false" customHeight="false" outlineLevel="0" collapsed="false">
      <c r="A125" s="2" t="n">
        <v>124</v>
      </c>
      <c r="B125" s="7"/>
      <c r="C125" s="7"/>
      <c r="D125" s="7"/>
      <c r="E125" s="7"/>
      <c r="F125" s="7"/>
      <c r="G125" s="7"/>
      <c r="H125" s="7"/>
      <c r="I125" s="7"/>
    </row>
    <row r="126" customFormat="false" ht="15" hidden="false" customHeight="false" outlineLevel="0" collapsed="false">
      <c r="A126" s="2" t="n">
        <v>125</v>
      </c>
      <c r="B126" s="7"/>
      <c r="C126" s="7"/>
      <c r="D126" s="7"/>
      <c r="E126" s="7"/>
      <c r="F126" s="7"/>
      <c r="G126" s="7"/>
      <c r="H126" s="7"/>
      <c r="I126" s="7"/>
    </row>
    <row r="127" customFormat="false" ht="15" hidden="false" customHeight="false" outlineLevel="0" collapsed="false">
      <c r="A127" s="2" t="n">
        <v>126</v>
      </c>
      <c r="B127" s="7"/>
      <c r="C127" s="7"/>
      <c r="D127" s="7"/>
      <c r="E127" s="7"/>
      <c r="F127" s="7"/>
      <c r="G127" s="7"/>
      <c r="H127" s="7"/>
      <c r="I127" s="7"/>
    </row>
    <row r="128" customFormat="false" ht="15" hidden="false" customHeight="false" outlineLevel="0" collapsed="false">
      <c r="A128" s="2" t="n">
        <v>127</v>
      </c>
      <c r="B128" s="7"/>
      <c r="C128" s="7"/>
      <c r="D128" s="7"/>
      <c r="E128" s="7"/>
      <c r="F128" s="7"/>
      <c r="G128" s="7"/>
      <c r="H128" s="7"/>
      <c r="I128" s="7"/>
    </row>
    <row r="129" customFormat="false" ht="15" hidden="false" customHeight="false" outlineLevel="0" collapsed="false">
      <c r="A129" s="2" t="n">
        <v>128</v>
      </c>
      <c r="B129" s="7"/>
      <c r="C129" s="7"/>
      <c r="D129" s="7"/>
      <c r="E129" s="7"/>
      <c r="F129" s="7"/>
      <c r="G129" s="7"/>
      <c r="H129" s="7"/>
      <c r="I129" s="7"/>
    </row>
    <row r="130" customFormat="false" ht="15" hidden="false" customHeight="false" outlineLevel="0" collapsed="false">
      <c r="A130" s="2" t="n">
        <v>129</v>
      </c>
      <c r="B130" s="7"/>
      <c r="C130" s="7"/>
      <c r="D130" s="7"/>
      <c r="E130" s="7"/>
      <c r="F130" s="7"/>
      <c r="G130" s="7"/>
      <c r="H130" s="7"/>
      <c r="I130" s="7"/>
    </row>
    <row r="131" customFormat="false" ht="15" hidden="false" customHeight="false" outlineLevel="0" collapsed="false">
      <c r="A131" s="2" t="n">
        <v>130</v>
      </c>
      <c r="B131" s="7"/>
      <c r="C131" s="7"/>
      <c r="D131" s="7"/>
      <c r="E131" s="7"/>
      <c r="F131" s="7"/>
      <c r="G131" s="7"/>
      <c r="H131" s="7"/>
      <c r="I131" s="7"/>
    </row>
    <row r="132" customFormat="false" ht="15" hidden="false" customHeight="false" outlineLevel="0" collapsed="false">
      <c r="A132" s="2" t="n">
        <v>131</v>
      </c>
      <c r="B132" s="7"/>
      <c r="C132" s="7"/>
      <c r="D132" s="7"/>
      <c r="E132" s="7"/>
      <c r="F132" s="7"/>
      <c r="G132" s="7"/>
      <c r="H132" s="7"/>
      <c r="I132" s="7"/>
    </row>
    <row r="133" customFormat="false" ht="15" hidden="false" customHeight="false" outlineLevel="0" collapsed="false">
      <c r="A133" s="2" t="n">
        <v>132</v>
      </c>
      <c r="B133" s="7"/>
      <c r="C133" s="7"/>
      <c r="D133" s="7"/>
      <c r="E133" s="7"/>
      <c r="F133" s="7"/>
      <c r="G133" s="7"/>
      <c r="H133" s="7"/>
      <c r="I133" s="7"/>
    </row>
    <row r="134" customFormat="false" ht="15" hidden="false" customHeight="false" outlineLevel="0" collapsed="false">
      <c r="A134" s="2" t="n">
        <v>133</v>
      </c>
      <c r="B134" s="7"/>
      <c r="C134" s="7"/>
      <c r="D134" s="7"/>
      <c r="E134" s="7"/>
      <c r="F134" s="7"/>
      <c r="G134" s="7"/>
      <c r="H134" s="7"/>
      <c r="I134" s="7"/>
    </row>
    <row r="135" customFormat="false" ht="15" hidden="false" customHeight="false" outlineLevel="0" collapsed="false">
      <c r="A135" s="2" t="n">
        <v>134</v>
      </c>
      <c r="B135" s="7"/>
      <c r="C135" s="7"/>
      <c r="D135" s="7"/>
      <c r="E135" s="7"/>
      <c r="F135" s="7"/>
      <c r="G135" s="7"/>
      <c r="H135" s="7"/>
      <c r="I135" s="7"/>
    </row>
    <row r="136" customFormat="false" ht="15" hidden="false" customHeight="false" outlineLevel="0" collapsed="false">
      <c r="A136" s="2" t="n">
        <v>135</v>
      </c>
      <c r="B136" s="7"/>
      <c r="C136" s="7"/>
      <c r="D136" s="7"/>
      <c r="E136" s="7"/>
      <c r="F136" s="7"/>
      <c r="G136" s="7"/>
      <c r="H136" s="7"/>
      <c r="I136" s="7"/>
    </row>
    <row r="137" customFormat="false" ht="15" hidden="false" customHeight="false" outlineLevel="0" collapsed="false">
      <c r="A137" s="2" t="n">
        <v>136</v>
      </c>
      <c r="B137" s="7"/>
      <c r="C137" s="7"/>
      <c r="D137" s="7"/>
      <c r="E137" s="7"/>
      <c r="F137" s="7"/>
      <c r="G137" s="7"/>
      <c r="H137" s="7"/>
      <c r="I137" s="7"/>
    </row>
    <row r="138" customFormat="false" ht="15" hidden="false" customHeight="false" outlineLevel="0" collapsed="false">
      <c r="A138" s="2" t="n">
        <v>137</v>
      </c>
      <c r="B138" s="7"/>
      <c r="C138" s="7"/>
      <c r="D138" s="7"/>
      <c r="E138" s="7"/>
      <c r="F138" s="7"/>
      <c r="G138" s="7"/>
      <c r="H138" s="7"/>
      <c r="I138" s="7"/>
    </row>
    <row r="139" customFormat="false" ht="15" hidden="false" customHeight="false" outlineLevel="0" collapsed="false">
      <c r="A139" s="2" t="n">
        <v>138</v>
      </c>
      <c r="B139" s="7"/>
      <c r="C139" s="7"/>
      <c r="D139" s="7"/>
      <c r="E139" s="7"/>
      <c r="F139" s="7"/>
      <c r="G139" s="7"/>
      <c r="H139" s="7"/>
      <c r="I139" s="7"/>
    </row>
    <row r="140" customFormat="false" ht="15" hidden="false" customHeight="false" outlineLevel="0" collapsed="false">
      <c r="A140" s="2" t="n">
        <v>139</v>
      </c>
      <c r="B140" s="7"/>
      <c r="C140" s="7"/>
      <c r="D140" s="7"/>
      <c r="E140" s="7"/>
      <c r="F140" s="7"/>
      <c r="G140" s="7"/>
      <c r="H140" s="7"/>
      <c r="I140" s="7"/>
    </row>
    <row r="141" customFormat="false" ht="15" hidden="false" customHeight="false" outlineLevel="0" collapsed="false">
      <c r="A141" s="2" t="n">
        <v>140</v>
      </c>
      <c r="B141" s="7"/>
      <c r="C141" s="7"/>
      <c r="D141" s="7"/>
      <c r="E141" s="7"/>
      <c r="F141" s="7"/>
      <c r="G141" s="7"/>
      <c r="H141" s="7"/>
      <c r="I141" s="7"/>
    </row>
    <row r="142" customFormat="false" ht="15" hidden="false" customHeight="false" outlineLevel="0" collapsed="false">
      <c r="A142" s="2" t="n">
        <v>141</v>
      </c>
      <c r="B142" s="7"/>
      <c r="C142" s="7"/>
      <c r="D142" s="7"/>
      <c r="E142" s="7"/>
      <c r="F142" s="7"/>
      <c r="G142" s="7"/>
      <c r="H142" s="7"/>
      <c r="I142" s="7"/>
    </row>
    <row r="143" customFormat="false" ht="15" hidden="false" customHeight="false" outlineLevel="0" collapsed="false">
      <c r="A143" s="2" t="n">
        <v>142</v>
      </c>
      <c r="B143" s="7"/>
      <c r="C143" s="7"/>
      <c r="D143" s="7"/>
      <c r="E143" s="7"/>
      <c r="F143" s="7"/>
      <c r="G143" s="7"/>
      <c r="H143" s="7"/>
      <c r="I143" s="7"/>
    </row>
    <row r="144" customFormat="false" ht="15" hidden="false" customHeight="false" outlineLevel="0" collapsed="false">
      <c r="A144" s="2" t="n">
        <v>143</v>
      </c>
      <c r="B144" s="7"/>
      <c r="C144" s="7"/>
      <c r="D144" s="7"/>
      <c r="E144" s="7"/>
      <c r="F144" s="7"/>
      <c r="G144" s="7"/>
      <c r="H144" s="7"/>
      <c r="I144" s="7"/>
    </row>
    <row r="145" customFormat="false" ht="15" hidden="false" customHeight="false" outlineLevel="0" collapsed="false">
      <c r="A145" s="2" t="n">
        <v>144</v>
      </c>
      <c r="B145" s="7"/>
      <c r="C145" s="7"/>
      <c r="D145" s="7"/>
      <c r="E145" s="7"/>
      <c r="F145" s="7"/>
      <c r="G145" s="7"/>
      <c r="H145" s="7"/>
      <c r="I145" s="7"/>
    </row>
    <row r="146" customFormat="false" ht="15" hidden="false" customHeight="false" outlineLevel="0" collapsed="false">
      <c r="A146" s="2" t="n">
        <v>145</v>
      </c>
      <c r="B146" s="7"/>
      <c r="C146" s="7"/>
      <c r="D146" s="7"/>
      <c r="E146" s="7"/>
      <c r="F146" s="7"/>
      <c r="G146" s="7"/>
      <c r="H146" s="7"/>
      <c r="I146" s="7"/>
    </row>
    <row r="147" customFormat="false" ht="15" hidden="false" customHeight="false" outlineLevel="0" collapsed="false">
      <c r="A147" s="2" t="n">
        <v>146</v>
      </c>
      <c r="B147" s="7"/>
      <c r="C147" s="7"/>
      <c r="D147" s="7"/>
      <c r="E147" s="7"/>
      <c r="F147" s="7"/>
      <c r="G147" s="7"/>
      <c r="H147" s="7"/>
      <c r="I147" s="7"/>
    </row>
    <row r="148" customFormat="false" ht="15" hidden="false" customHeight="false" outlineLevel="0" collapsed="false">
      <c r="A148" s="2" t="n">
        <v>147</v>
      </c>
      <c r="B148" s="7"/>
      <c r="C148" s="7"/>
      <c r="D148" s="7"/>
      <c r="E148" s="7"/>
      <c r="F148" s="7"/>
      <c r="G148" s="7"/>
      <c r="H148" s="7"/>
      <c r="I148" s="7"/>
    </row>
    <row r="149" customFormat="false" ht="15" hidden="false" customHeight="false" outlineLevel="0" collapsed="false">
      <c r="A149" s="2" t="n">
        <v>148</v>
      </c>
      <c r="B149" s="7"/>
      <c r="C149" s="7"/>
      <c r="D149" s="7"/>
      <c r="E149" s="7"/>
      <c r="F149" s="7"/>
      <c r="G149" s="7"/>
      <c r="H149" s="7"/>
      <c r="I149" s="7"/>
    </row>
    <row r="150" customFormat="false" ht="15" hidden="false" customHeight="false" outlineLevel="0" collapsed="false">
      <c r="A150" s="2" t="n">
        <v>149</v>
      </c>
      <c r="B150" s="7"/>
      <c r="C150" s="7"/>
      <c r="D150" s="7"/>
      <c r="E150" s="7"/>
      <c r="F150" s="7"/>
      <c r="G150" s="7"/>
      <c r="H150" s="7"/>
      <c r="I150" s="7"/>
    </row>
    <row r="151" customFormat="false" ht="15" hidden="false" customHeight="false" outlineLevel="0" collapsed="false">
      <c r="A151" s="2" t="n">
        <v>150</v>
      </c>
      <c r="B151" s="7"/>
      <c r="C151" s="7"/>
      <c r="D151" s="7"/>
      <c r="E151" s="7"/>
      <c r="F151" s="7"/>
      <c r="G151" s="7"/>
      <c r="H151" s="7"/>
      <c r="I151" s="7"/>
    </row>
    <row r="152" customFormat="false" ht="15" hidden="false" customHeight="false" outlineLevel="0" collapsed="false">
      <c r="A152" s="2" t="n">
        <v>151</v>
      </c>
      <c r="B152" s="7"/>
      <c r="C152" s="7"/>
      <c r="D152" s="7"/>
      <c r="E152" s="7"/>
      <c r="F152" s="7"/>
      <c r="G152" s="7"/>
      <c r="H152" s="7"/>
      <c r="I152" s="7"/>
    </row>
    <row r="153" customFormat="false" ht="15" hidden="false" customHeight="false" outlineLevel="0" collapsed="false">
      <c r="A153" s="2" t="n">
        <v>152</v>
      </c>
      <c r="B153" s="7"/>
      <c r="C153" s="7"/>
      <c r="D153" s="7"/>
      <c r="E153" s="7"/>
      <c r="F153" s="7"/>
      <c r="G153" s="7"/>
      <c r="H153" s="7"/>
      <c r="I153" s="7"/>
    </row>
    <row r="154" customFormat="false" ht="15" hidden="false" customHeight="false" outlineLevel="0" collapsed="false">
      <c r="A154" s="2" t="n">
        <v>153</v>
      </c>
      <c r="B154" s="7"/>
      <c r="C154" s="7"/>
      <c r="D154" s="7"/>
      <c r="E154" s="7"/>
      <c r="F154" s="7"/>
      <c r="G154" s="7"/>
      <c r="H154" s="7"/>
      <c r="I154" s="7"/>
    </row>
    <row r="155" customFormat="false" ht="15" hidden="false" customHeight="false" outlineLevel="0" collapsed="false">
      <c r="A155" s="2" t="n">
        <v>154</v>
      </c>
      <c r="B155" s="7"/>
      <c r="C155" s="7"/>
      <c r="D155" s="7"/>
      <c r="E155" s="7"/>
      <c r="F155" s="7"/>
      <c r="G155" s="7"/>
      <c r="H155" s="7"/>
      <c r="I155" s="7"/>
    </row>
    <row r="156" customFormat="false" ht="15" hidden="false" customHeight="false" outlineLevel="0" collapsed="false">
      <c r="A156" s="2" t="n">
        <v>155</v>
      </c>
      <c r="B156" s="7"/>
      <c r="C156" s="7"/>
      <c r="D156" s="7"/>
      <c r="E156" s="7"/>
      <c r="F156" s="7"/>
      <c r="G156" s="7"/>
      <c r="H156" s="7"/>
      <c r="I156" s="7"/>
    </row>
    <row r="157" customFormat="false" ht="15" hidden="false" customHeight="false" outlineLevel="0" collapsed="false">
      <c r="A157" s="2" t="n">
        <v>156</v>
      </c>
      <c r="B157" s="7"/>
      <c r="C157" s="7"/>
      <c r="D157" s="7"/>
      <c r="E157" s="7"/>
      <c r="F157" s="7"/>
      <c r="G157" s="7"/>
      <c r="H157" s="7"/>
      <c r="I157" s="7"/>
    </row>
    <row r="158" customFormat="false" ht="15" hidden="false" customHeight="false" outlineLevel="0" collapsed="false">
      <c r="A158" s="2" t="n">
        <v>157</v>
      </c>
      <c r="B158" s="7"/>
      <c r="C158" s="7"/>
      <c r="D158" s="7"/>
      <c r="E158" s="7"/>
      <c r="F158" s="7"/>
      <c r="G158" s="7"/>
      <c r="H158" s="7"/>
      <c r="I158" s="7"/>
    </row>
    <row r="159" customFormat="false" ht="15" hidden="false" customHeight="false" outlineLevel="0" collapsed="false">
      <c r="A159" s="2" t="n">
        <v>158</v>
      </c>
      <c r="B159" s="7"/>
      <c r="C159" s="7"/>
      <c r="D159" s="7"/>
      <c r="E159" s="7"/>
      <c r="F159" s="7"/>
      <c r="G159" s="7"/>
      <c r="H159" s="7"/>
      <c r="I159" s="7"/>
    </row>
    <row r="160" customFormat="false" ht="15" hidden="false" customHeight="false" outlineLevel="0" collapsed="false">
      <c r="A160" s="2" t="n">
        <v>159</v>
      </c>
      <c r="B160" s="7"/>
      <c r="C160" s="7"/>
      <c r="D160" s="7"/>
      <c r="E160" s="7"/>
      <c r="F160" s="7"/>
      <c r="G160" s="7"/>
      <c r="H160" s="7"/>
      <c r="I160" s="7"/>
    </row>
    <row r="161" customFormat="false" ht="15" hidden="false" customHeight="false" outlineLevel="0" collapsed="false">
      <c r="A161" s="2" t="n">
        <v>160</v>
      </c>
      <c r="B161" s="7"/>
      <c r="C161" s="7"/>
      <c r="D161" s="7"/>
      <c r="E161" s="7"/>
      <c r="F161" s="7"/>
      <c r="G161" s="7"/>
      <c r="H161" s="7"/>
      <c r="I161" s="7"/>
    </row>
    <row r="162" customFormat="false" ht="15" hidden="false" customHeight="false" outlineLevel="0" collapsed="false">
      <c r="A162" s="2" t="n">
        <v>161</v>
      </c>
      <c r="B162" s="7"/>
      <c r="C162" s="7"/>
      <c r="D162" s="7"/>
      <c r="E162" s="7"/>
      <c r="F162" s="7"/>
      <c r="G162" s="7"/>
      <c r="H162" s="7"/>
      <c r="I162" s="7"/>
    </row>
    <row r="163" customFormat="false" ht="15" hidden="false" customHeight="false" outlineLevel="0" collapsed="false">
      <c r="A163" s="2" t="n">
        <v>162</v>
      </c>
      <c r="B163" s="7"/>
      <c r="C163" s="7"/>
      <c r="D163" s="7"/>
      <c r="E163" s="7"/>
      <c r="F163" s="7"/>
      <c r="G163" s="7"/>
      <c r="H163" s="7"/>
      <c r="I163" s="7"/>
    </row>
    <row r="164" customFormat="false" ht="15" hidden="false" customHeight="false" outlineLevel="0" collapsed="false">
      <c r="A164" s="2" t="n">
        <v>163</v>
      </c>
      <c r="B164" s="7"/>
      <c r="C164" s="7"/>
      <c r="D164" s="7"/>
      <c r="E164" s="7"/>
      <c r="F164" s="7"/>
      <c r="G164" s="7"/>
      <c r="H164" s="7"/>
      <c r="I164" s="7"/>
    </row>
    <row r="165" customFormat="false" ht="15" hidden="false" customHeight="false" outlineLevel="0" collapsed="false">
      <c r="A165" s="2" t="n">
        <v>164</v>
      </c>
      <c r="B165" s="7"/>
      <c r="C165" s="7"/>
      <c r="D165" s="7"/>
      <c r="E165" s="7"/>
      <c r="F165" s="7"/>
      <c r="G165" s="7"/>
      <c r="H165" s="7"/>
      <c r="I165" s="7"/>
    </row>
    <row r="166" customFormat="false" ht="15" hidden="false" customHeight="false" outlineLevel="0" collapsed="false">
      <c r="A166" s="2" t="n">
        <v>165</v>
      </c>
      <c r="B166" s="7"/>
      <c r="C166" s="7"/>
      <c r="D166" s="7"/>
      <c r="E166" s="7"/>
      <c r="F166" s="7"/>
      <c r="G166" s="7"/>
      <c r="H166" s="7"/>
      <c r="I166" s="7"/>
    </row>
    <row r="167" customFormat="false" ht="15" hidden="false" customHeight="false" outlineLevel="0" collapsed="false">
      <c r="A167" s="2" t="n">
        <v>166</v>
      </c>
      <c r="B167" s="7"/>
      <c r="C167" s="7"/>
      <c r="D167" s="7"/>
      <c r="E167" s="7"/>
      <c r="F167" s="7"/>
      <c r="G167" s="7"/>
      <c r="H167" s="7"/>
      <c r="I167" s="7"/>
    </row>
    <row r="168" customFormat="false" ht="15" hidden="false" customHeight="false" outlineLevel="0" collapsed="false">
      <c r="A168" s="2" t="n">
        <v>167</v>
      </c>
      <c r="B168" s="7"/>
      <c r="C168" s="7"/>
      <c r="D168" s="7"/>
      <c r="E168" s="7"/>
      <c r="F168" s="7"/>
      <c r="G168" s="7"/>
      <c r="H168" s="7"/>
      <c r="I168" s="7"/>
    </row>
    <row r="169" customFormat="false" ht="15" hidden="false" customHeight="false" outlineLevel="0" collapsed="false">
      <c r="A169" s="2" t="n">
        <v>168</v>
      </c>
      <c r="B169" s="7"/>
      <c r="C169" s="7"/>
      <c r="D169" s="7"/>
      <c r="E169" s="7"/>
      <c r="F169" s="7"/>
      <c r="G169" s="7"/>
      <c r="H169" s="7"/>
      <c r="I169" s="7"/>
    </row>
    <row r="170" customFormat="false" ht="15" hidden="false" customHeight="false" outlineLevel="0" collapsed="false">
      <c r="A170" s="2" t="n">
        <v>169</v>
      </c>
      <c r="B170" s="7"/>
      <c r="C170" s="7"/>
      <c r="D170" s="7"/>
      <c r="E170" s="7"/>
      <c r="F170" s="7"/>
      <c r="G170" s="7"/>
      <c r="H170" s="7"/>
      <c r="I170" s="7"/>
    </row>
    <row r="171" customFormat="false" ht="15" hidden="false" customHeight="false" outlineLevel="0" collapsed="false">
      <c r="A171" s="2" t="n">
        <v>170</v>
      </c>
      <c r="B171" s="7"/>
      <c r="C171" s="7"/>
      <c r="D171" s="7"/>
      <c r="E171" s="7"/>
      <c r="F171" s="7"/>
      <c r="G171" s="7"/>
      <c r="H171" s="7"/>
      <c r="I171" s="7"/>
    </row>
    <row r="172" customFormat="false" ht="15" hidden="false" customHeight="false" outlineLevel="0" collapsed="false">
      <c r="A172" s="2" t="n">
        <v>171</v>
      </c>
      <c r="B172" s="7"/>
      <c r="C172" s="7"/>
      <c r="D172" s="7"/>
      <c r="E172" s="7"/>
      <c r="F172" s="7"/>
      <c r="G172" s="7"/>
      <c r="H172" s="7"/>
      <c r="I172" s="7"/>
    </row>
    <row r="173" customFormat="false" ht="15" hidden="false" customHeight="false" outlineLevel="0" collapsed="false">
      <c r="A173" s="2" t="n">
        <v>172</v>
      </c>
      <c r="B173" s="7"/>
      <c r="C173" s="7"/>
      <c r="D173" s="7"/>
      <c r="E173" s="7"/>
      <c r="F173" s="7"/>
      <c r="G173" s="7"/>
      <c r="H173" s="7"/>
      <c r="I173" s="7"/>
    </row>
    <row r="174" customFormat="false" ht="15" hidden="false" customHeight="false" outlineLevel="0" collapsed="false">
      <c r="A174" s="2" t="n">
        <v>173</v>
      </c>
      <c r="B174" s="7"/>
      <c r="C174" s="7"/>
      <c r="D174" s="7"/>
      <c r="E174" s="7"/>
      <c r="F174" s="7"/>
      <c r="G174" s="7"/>
      <c r="H174" s="7"/>
      <c r="I174" s="7"/>
    </row>
    <row r="175" customFormat="false" ht="15" hidden="false" customHeight="false" outlineLevel="0" collapsed="false">
      <c r="A175" s="2" t="n">
        <v>174</v>
      </c>
      <c r="B175" s="7"/>
      <c r="C175" s="7"/>
      <c r="D175" s="7"/>
      <c r="E175" s="7"/>
      <c r="F175" s="7"/>
      <c r="G175" s="7"/>
      <c r="H175" s="7"/>
      <c r="I175" s="7"/>
    </row>
    <row r="176" customFormat="false" ht="15" hidden="false" customHeight="false" outlineLevel="0" collapsed="false">
      <c r="A176" s="2" t="n">
        <v>175</v>
      </c>
      <c r="B176" s="7"/>
      <c r="C176" s="7"/>
      <c r="D176" s="7"/>
      <c r="E176" s="7"/>
      <c r="F176" s="7"/>
      <c r="G176" s="7"/>
      <c r="H176" s="7"/>
      <c r="I176" s="7"/>
    </row>
    <row r="177" customFormat="false" ht="15" hidden="false" customHeight="false" outlineLevel="0" collapsed="false">
      <c r="A177" s="2" t="n">
        <v>176</v>
      </c>
      <c r="B177" s="7"/>
      <c r="C177" s="7"/>
      <c r="D177" s="7"/>
      <c r="E177" s="7"/>
      <c r="F177" s="7"/>
      <c r="G177" s="7"/>
      <c r="H177" s="7"/>
      <c r="I177" s="7"/>
    </row>
    <row r="178" customFormat="false" ht="15" hidden="false" customHeight="false" outlineLevel="0" collapsed="false">
      <c r="A178" s="2" t="n">
        <v>177</v>
      </c>
      <c r="B178" s="7"/>
      <c r="C178" s="7"/>
      <c r="D178" s="7"/>
      <c r="E178" s="7"/>
      <c r="F178" s="7"/>
      <c r="G178" s="7"/>
      <c r="H178" s="7"/>
      <c r="I178" s="7"/>
    </row>
    <row r="179" customFormat="false" ht="15" hidden="false" customHeight="false" outlineLevel="0" collapsed="false">
      <c r="A179" s="2" t="n">
        <v>178</v>
      </c>
      <c r="B179" s="7"/>
      <c r="C179" s="7"/>
      <c r="D179" s="7"/>
      <c r="E179" s="7"/>
      <c r="F179" s="7"/>
      <c r="G179" s="7"/>
      <c r="H179" s="7"/>
      <c r="I179" s="7"/>
    </row>
    <row r="180" customFormat="false" ht="15" hidden="false" customHeight="false" outlineLevel="0" collapsed="false">
      <c r="A180" s="2" t="n">
        <v>179</v>
      </c>
      <c r="B180" s="7"/>
      <c r="C180" s="7"/>
      <c r="D180" s="7"/>
      <c r="E180" s="7"/>
      <c r="F180" s="7"/>
      <c r="G180" s="7"/>
      <c r="H180" s="7"/>
      <c r="I180" s="7"/>
    </row>
    <row r="181" customFormat="false" ht="15" hidden="false" customHeight="false" outlineLevel="0" collapsed="false">
      <c r="A181" s="2" t="n">
        <v>180</v>
      </c>
      <c r="B181" s="7"/>
      <c r="C181" s="7"/>
      <c r="D181" s="7"/>
      <c r="E181" s="7"/>
      <c r="F181" s="7"/>
      <c r="G181" s="7"/>
      <c r="H181" s="7"/>
      <c r="I181" s="7"/>
    </row>
    <row r="182" customFormat="false" ht="15" hidden="false" customHeight="false" outlineLevel="0" collapsed="false">
      <c r="A182" s="2" t="n">
        <v>181</v>
      </c>
      <c r="B182" s="7"/>
      <c r="C182" s="7"/>
      <c r="D182" s="7"/>
      <c r="E182" s="7"/>
      <c r="F182" s="7"/>
      <c r="G182" s="7"/>
      <c r="H182" s="7"/>
      <c r="I182" s="7"/>
    </row>
    <row r="183" customFormat="false" ht="15" hidden="false" customHeight="false" outlineLevel="0" collapsed="false">
      <c r="A183" s="2" t="n">
        <v>182</v>
      </c>
      <c r="B183" s="7"/>
      <c r="C183" s="7"/>
      <c r="D183" s="7"/>
      <c r="E183" s="7"/>
      <c r="F183" s="7"/>
      <c r="G183" s="7"/>
      <c r="H183" s="7"/>
      <c r="I183" s="7"/>
    </row>
    <row r="184" customFormat="false" ht="15" hidden="false" customHeight="false" outlineLevel="0" collapsed="false">
      <c r="A184" s="2" t="n">
        <v>183</v>
      </c>
      <c r="B184" s="7"/>
      <c r="C184" s="7"/>
      <c r="D184" s="7"/>
      <c r="E184" s="7"/>
      <c r="F184" s="7"/>
      <c r="G184" s="7"/>
      <c r="H184" s="7"/>
      <c r="I184" s="7"/>
    </row>
    <row r="185" customFormat="false" ht="15" hidden="false" customHeight="false" outlineLevel="0" collapsed="false">
      <c r="A185" s="2" t="n">
        <v>184</v>
      </c>
      <c r="B185" s="7"/>
      <c r="C185" s="7"/>
      <c r="D185" s="7"/>
      <c r="E185" s="7"/>
      <c r="F185" s="7"/>
      <c r="G185" s="7"/>
      <c r="H185" s="7"/>
      <c r="I185" s="7"/>
    </row>
    <row r="186" customFormat="false" ht="15" hidden="false" customHeight="false" outlineLevel="0" collapsed="false">
      <c r="A186" s="2" t="n">
        <v>185</v>
      </c>
      <c r="B186" s="7"/>
      <c r="C186" s="7"/>
      <c r="D186" s="7"/>
      <c r="E186" s="7"/>
      <c r="F186" s="7"/>
      <c r="G186" s="7"/>
      <c r="H186" s="7"/>
      <c r="I186" s="7"/>
    </row>
    <row r="187" customFormat="false" ht="15" hidden="false" customHeight="false" outlineLevel="0" collapsed="false">
      <c r="A187" s="2" t="n">
        <v>186</v>
      </c>
      <c r="B187" s="7"/>
      <c r="C187" s="7"/>
      <c r="D187" s="7"/>
      <c r="E187" s="7"/>
      <c r="F187" s="7"/>
      <c r="G187" s="7"/>
      <c r="H187" s="7"/>
      <c r="I187" s="7"/>
    </row>
    <row r="188" customFormat="false" ht="15" hidden="false" customHeight="false" outlineLevel="0" collapsed="false">
      <c r="A188" s="2" t="n">
        <v>187</v>
      </c>
      <c r="B188" s="7"/>
      <c r="C188" s="7"/>
      <c r="D188" s="7"/>
      <c r="E188" s="7"/>
      <c r="F188" s="7"/>
      <c r="G188" s="7"/>
      <c r="H188" s="7"/>
      <c r="I188" s="7"/>
    </row>
    <row r="189" customFormat="false" ht="15" hidden="false" customHeight="false" outlineLevel="0" collapsed="false">
      <c r="A189" s="2" t="n">
        <v>188</v>
      </c>
      <c r="B189" s="7"/>
      <c r="C189" s="7"/>
      <c r="D189" s="7"/>
      <c r="E189" s="7"/>
      <c r="F189" s="7"/>
      <c r="G189" s="7"/>
      <c r="H189" s="7"/>
      <c r="I189" s="7"/>
    </row>
    <row r="190" customFormat="false" ht="15" hidden="false" customHeight="false" outlineLevel="0" collapsed="false">
      <c r="A190" s="2" t="n">
        <v>189</v>
      </c>
      <c r="B190" s="7"/>
      <c r="C190" s="7"/>
      <c r="D190" s="7"/>
      <c r="E190" s="7"/>
      <c r="F190" s="7"/>
      <c r="G190" s="7"/>
      <c r="H190" s="7"/>
      <c r="I190" s="7"/>
    </row>
    <row r="191" customFormat="false" ht="15" hidden="false" customHeight="false" outlineLevel="0" collapsed="false">
      <c r="A191" s="2" t="n">
        <v>190</v>
      </c>
      <c r="B191" s="7"/>
      <c r="C191" s="7"/>
      <c r="D191" s="7"/>
      <c r="E191" s="7"/>
      <c r="F191" s="7"/>
      <c r="G191" s="7"/>
      <c r="H191" s="7"/>
      <c r="I191" s="7"/>
    </row>
    <row r="192" customFormat="false" ht="15" hidden="false" customHeight="false" outlineLevel="0" collapsed="false">
      <c r="A192" s="2" t="n">
        <v>191</v>
      </c>
      <c r="B192" s="7"/>
      <c r="C192" s="7"/>
      <c r="D192" s="7"/>
      <c r="E192" s="7"/>
      <c r="F192" s="7"/>
      <c r="G192" s="7"/>
      <c r="H192" s="7"/>
      <c r="I192" s="7"/>
    </row>
    <row r="193" customFormat="false" ht="15" hidden="false" customHeight="false" outlineLevel="0" collapsed="false">
      <c r="A193" s="2" t="n">
        <v>192</v>
      </c>
      <c r="B193" s="7"/>
      <c r="C193" s="7"/>
      <c r="D193" s="7"/>
      <c r="E193" s="7"/>
      <c r="F193" s="7"/>
      <c r="G193" s="7"/>
      <c r="H193" s="7"/>
      <c r="I193" s="7"/>
    </row>
    <row r="194" customFormat="false" ht="15" hidden="false" customHeight="false" outlineLevel="0" collapsed="false">
      <c r="A194" s="2" t="n">
        <v>193</v>
      </c>
      <c r="B194" s="7"/>
      <c r="C194" s="7"/>
      <c r="D194" s="7"/>
      <c r="E194" s="7"/>
      <c r="F194" s="7"/>
      <c r="G194" s="7"/>
      <c r="H194" s="7"/>
      <c r="I194" s="7"/>
    </row>
    <row r="195" customFormat="false" ht="15" hidden="false" customHeight="false" outlineLevel="0" collapsed="false">
      <c r="A195" s="2" t="n">
        <v>194</v>
      </c>
      <c r="B195" s="7"/>
      <c r="C195" s="7"/>
      <c r="D195" s="7"/>
      <c r="E195" s="7"/>
      <c r="F195" s="7"/>
      <c r="G195" s="7"/>
      <c r="H195" s="7"/>
      <c r="I195" s="7"/>
    </row>
    <row r="196" customFormat="false" ht="15" hidden="false" customHeight="false" outlineLevel="0" collapsed="false">
      <c r="A196" s="2" t="n">
        <v>195</v>
      </c>
      <c r="B196" s="7"/>
      <c r="C196" s="7"/>
      <c r="D196" s="7"/>
      <c r="E196" s="7"/>
      <c r="F196" s="7"/>
      <c r="G196" s="7"/>
      <c r="H196" s="7"/>
      <c r="I196" s="7"/>
    </row>
    <row r="197" customFormat="false" ht="15" hidden="false" customHeight="false" outlineLevel="0" collapsed="false">
      <c r="A197" s="2" t="n">
        <v>196</v>
      </c>
      <c r="B197" s="7"/>
      <c r="C197" s="7"/>
      <c r="D197" s="7"/>
      <c r="E197" s="7"/>
      <c r="F197" s="7"/>
      <c r="G197" s="7"/>
      <c r="H197" s="7"/>
      <c r="I197" s="7"/>
    </row>
    <row r="198" customFormat="false" ht="15" hidden="false" customHeight="false" outlineLevel="0" collapsed="false">
      <c r="A198" s="2" t="n">
        <v>197</v>
      </c>
      <c r="B198" s="7"/>
      <c r="C198" s="7"/>
      <c r="D198" s="7"/>
      <c r="E198" s="7"/>
      <c r="F198" s="7"/>
      <c r="G198" s="7"/>
      <c r="H198" s="7"/>
      <c r="I198" s="7"/>
    </row>
    <row r="199" customFormat="false" ht="15" hidden="false" customHeight="false" outlineLevel="0" collapsed="false">
      <c r="A199" s="2" t="n">
        <v>198</v>
      </c>
      <c r="B199" s="7"/>
      <c r="C199" s="7"/>
      <c r="D199" s="7"/>
      <c r="E199" s="7"/>
      <c r="F199" s="7"/>
      <c r="G199" s="7"/>
      <c r="H199" s="7"/>
      <c r="I199" s="7"/>
    </row>
    <row r="200" customFormat="false" ht="15" hidden="false" customHeight="false" outlineLevel="0" collapsed="false">
      <c r="A200" s="2" t="n">
        <v>199</v>
      </c>
      <c r="B200" s="7"/>
      <c r="C200" s="7"/>
      <c r="D200" s="7"/>
      <c r="E200" s="7"/>
      <c r="F200" s="7"/>
      <c r="G200" s="7"/>
      <c r="H200" s="7"/>
      <c r="I200" s="7"/>
    </row>
    <row r="201" customFormat="false" ht="15" hidden="false" customHeight="false" outlineLevel="0" collapsed="false">
      <c r="A201" s="2" t="n">
        <v>200</v>
      </c>
      <c r="B201" s="7"/>
      <c r="C201" s="7"/>
      <c r="D201" s="7"/>
      <c r="E201" s="7"/>
      <c r="F201" s="7"/>
      <c r="G201" s="7"/>
      <c r="H201" s="7"/>
      <c r="I201" s="7"/>
    </row>
    <row r="202" customFormat="false" ht="15" hidden="false" customHeight="false" outlineLevel="0" collapsed="false">
      <c r="A202" s="2" t="n">
        <v>201</v>
      </c>
      <c r="B202" s="7"/>
      <c r="C202" s="7"/>
      <c r="D202" s="7"/>
      <c r="E202" s="7"/>
      <c r="F202" s="7"/>
      <c r="G202" s="7"/>
      <c r="H202" s="7"/>
      <c r="I202" s="7"/>
    </row>
    <row r="203" customFormat="false" ht="15" hidden="false" customHeight="false" outlineLevel="0" collapsed="false">
      <c r="A203" s="2" t="n">
        <v>202</v>
      </c>
      <c r="B203" s="7"/>
      <c r="C203" s="7"/>
      <c r="D203" s="7"/>
      <c r="E203" s="7"/>
      <c r="F203" s="7"/>
      <c r="G203" s="7"/>
      <c r="H203" s="7"/>
      <c r="I203" s="7"/>
    </row>
    <row r="204" customFormat="false" ht="15" hidden="false" customHeight="false" outlineLevel="0" collapsed="false">
      <c r="A204" s="2" t="n">
        <v>203</v>
      </c>
      <c r="B204" s="7"/>
      <c r="C204" s="7"/>
      <c r="D204" s="7"/>
      <c r="E204" s="7"/>
      <c r="F204" s="7"/>
      <c r="G204" s="7"/>
      <c r="H204" s="7"/>
      <c r="I204" s="7"/>
    </row>
    <row r="205" customFormat="false" ht="15" hidden="false" customHeight="false" outlineLevel="0" collapsed="false">
      <c r="A205" s="2" t="n">
        <v>204</v>
      </c>
      <c r="B205" s="7"/>
      <c r="C205" s="7"/>
      <c r="D205" s="7"/>
      <c r="E205" s="7"/>
      <c r="F205" s="7"/>
      <c r="G205" s="7"/>
      <c r="H205" s="7"/>
      <c r="I205" s="7"/>
    </row>
    <row r="206" customFormat="false" ht="15" hidden="false" customHeight="false" outlineLevel="0" collapsed="false">
      <c r="A206" s="2" t="n">
        <v>205</v>
      </c>
      <c r="B206" s="7"/>
      <c r="C206" s="7"/>
      <c r="D206" s="7"/>
      <c r="E206" s="7"/>
      <c r="F206" s="7"/>
      <c r="G206" s="7"/>
      <c r="H206" s="7"/>
      <c r="I206" s="7"/>
    </row>
    <row r="207" customFormat="false" ht="15" hidden="false" customHeight="false" outlineLevel="0" collapsed="false">
      <c r="A207" s="2" t="n">
        <v>206</v>
      </c>
      <c r="B207" s="7"/>
      <c r="C207" s="7"/>
      <c r="D207" s="7"/>
      <c r="E207" s="7"/>
      <c r="F207" s="7"/>
      <c r="G207" s="7"/>
      <c r="H207" s="7"/>
      <c r="I207" s="7"/>
    </row>
    <row r="208" customFormat="false" ht="15" hidden="false" customHeight="false" outlineLevel="0" collapsed="false">
      <c r="A208" s="2" t="n">
        <v>207</v>
      </c>
      <c r="B208" s="7"/>
      <c r="C208" s="7"/>
      <c r="D208" s="7"/>
      <c r="E208" s="7"/>
      <c r="F208" s="7"/>
      <c r="G208" s="7"/>
      <c r="H208" s="7"/>
      <c r="I208" s="7"/>
    </row>
    <row r="209" customFormat="false" ht="15" hidden="false" customHeight="false" outlineLevel="0" collapsed="false">
      <c r="A209" s="2" t="n">
        <v>208</v>
      </c>
      <c r="B209" s="7"/>
      <c r="C209" s="7"/>
      <c r="D209" s="7"/>
      <c r="E209" s="7"/>
      <c r="F209" s="7"/>
      <c r="G209" s="7"/>
      <c r="H209" s="7"/>
      <c r="I209" s="7"/>
    </row>
    <row r="210" customFormat="false" ht="15" hidden="false" customHeight="false" outlineLevel="0" collapsed="false">
      <c r="A210" s="2" t="n">
        <v>209</v>
      </c>
      <c r="B210" s="7"/>
      <c r="C210" s="7"/>
      <c r="D210" s="7"/>
      <c r="E210" s="7"/>
      <c r="F210" s="7"/>
      <c r="G210" s="7"/>
      <c r="H210" s="7"/>
      <c r="I210" s="7"/>
    </row>
    <row r="211" customFormat="false" ht="15" hidden="false" customHeight="false" outlineLevel="0" collapsed="false">
      <c r="A211" s="2" t="n">
        <v>210</v>
      </c>
      <c r="B211" s="7"/>
      <c r="C211" s="7"/>
      <c r="D211" s="7"/>
      <c r="E211" s="7"/>
      <c r="F211" s="7"/>
      <c r="G211" s="7"/>
      <c r="H211" s="7"/>
      <c r="I211" s="7"/>
    </row>
    <row r="212" customFormat="false" ht="15" hidden="false" customHeight="false" outlineLevel="0" collapsed="false">
      <c r="A212" s="2" t="n">
        <v>211</v>
      </c>
      <c r="B212" s="7"/>
      <c r="C212" s="7"/>
      <c r="D212" s="7"/>
      <c r="E212" s="7"/>
      <c r="F212" s="7"/>
      <c r="G212" s="7"/>
      <c r="H212" s="7"/>
      <c r="I212" s="7"/>
    </row>
    <row r="213" customFormat="false" ht="15" hidden="false" customHeight="false" outlineLevel="0" collapsed="false">
      <c r="A213" s="2" t="n">
        <v>212</v>
      </c>
      <c r="B213" s="7"/>
      <c r="C213" s="7"/>
      <c r="D213" s="7"/>
      <c r="E213" s="7"/>
      <c r="F213" s="7"/>
      <c r="G213" s="7"/>
      <c r="H213" s="7"/>
      <c r="I213" s="7"/>
    </row>
    <row r="214" customFormat="false" ht="15" hidden="false" customHeight="false" outlineLevel="0" collapsed="false">
      <c r="A214" s="2" t="n">
        <v>213</v>
      </c>
      <c r="B214" s="7"/>
      <c r="C214" s="7"/>
      <c r="D214" s="7"/>
      <c r="E214" s="7"/>
      <c r="F214" s="7"/>
      <c r="G214" s="7"/>
      <c r="H214" s="7"/>
      <c r="I214" s="7"/>
    </row>
    <row r="215" customFormat="false" ht="15" hidden="false" customHeight="false" outlineLevel="0" collapsed="false">
      <c r="A215" s="2" t="n">
        <v>214</v>
      </c>
      <c r="B215" s="7"/>
      <c r="C215" s="7"/>
      <c r="D215" s="7"/>
      <c r="E215" s="7"/>
      <c r="F215" s="7"/>
      <c r="G215" s="7"/>
      <c r="H215" s="7"/>
      <c r="I215" s="7"/>
    </row>
    <row r="216" customFormat="false" ht="15" hidden="false" customHeight="false" outlineLevel="0" collapsed="false">
      <c r="A216" s="2" t="n">
        <v>215</v>
      </c>
      <c r="B216" s="7"/>
      <c r="C216" s="7"/>
      <c r="D216" s="7"/>
      <c r="E216" s="7"/>
      <c r="F216" s="7"/>
      <c r="G216" s="7"/>
      <c r="H216" s="7"/>
      <c r="I216" s="7"/>
    </row>
    <row r="217" customFormat="false" ht="15" hidden="false" customHeight="false" outlineLevel="0" collapsed="false">
      <c r="A217" s="2" t="n">
        <v>216</v>
      </c>
      <c r="B217" s="7"/>
      <c r="C217" s="7"/>
      <c r="D217" s="7"/>
      <c r="E217" s="7"/>
      <c r="F217" s="7"/>
      <c r="G217" s="7"/>
      <c r="H217" s="7"/>
      <c r="I217" s="7"/>
    </row>
    <row r="218" customFormat="false" ht="15" hidden="false" customHeight="false" outlineLevel="0" collapsed="false">
      <c r="A218" s="2" t="n">
        <v>217</v>
      </c>
      <c r="B218" s="7"/>
      <c r="C218" s="7"/>
      <c r="D218" s="7"/>
      <c r="E218" s="7"/>
      <c r="F218" s="7"/>
      <c r="G218" s="7"/>
      <c r="H218" s="7"/>
      <c r="I218" s="7"/>
    </row>
    <row r="219" customFormat="false" ht="15" hidden="false" customHeight="false" outlineLevel="0" collapsed="false">
      <c r="A219" s="2" t="n">
        <v>218</v>
      </c>
      <c r="B219" s="7"/>
      <c r="C219" s="7"/>
      <c r="D219" s="7"/>
      <c r="E219" s="7"/>
      <c r="F219" s="7"/>
      <c r="G219" s="7"/>
      <c r="H219" s="7"/>
      <c r="I219" s="7"/>
    </row>
    <row r="220" customFormat="false" ht="15" hidden="false" customHeight="false" outlineLevel="0" collapsed="false">
      <c r="A220" s="2" t="n">
        <v>219</v>
      </c>
      <c r="B220" s="7"/>
      <c r="C220" s="7"/>
      <c r="D220" s="7"/>
      <c r="E220" s="7"/>
      <c r="F220" s="7"/>
      <c r="G220" s="7"/>
      <c r="H220" s="7"/>
      <c r="I220" s="7"/>
    </row>
    <row r="221" customFormat="false" ht="15" hidden="false" customHeight="false" outlineLevel="0" collapsed="false">
      <c r="A221" s="2" t="n">
        <v>220</v>
      </c>
      <c r="B221" s="7"/>
      <c r="C221" s="7"/>
      <c r="D221" s="7"/>
      <c r="E221" s="7"/>
      <c r="F221" s="7"/>
      <c r="G221" s="7"/>
      <c r="H221" s="7"/>
      <c r="I221" s="7"/>
    </row>
    <row r="222" customFormat="false" ht="15" hidden="false" customHeight="false" outlineLevel="0" collapsed="false">
      <c r="A222" s="2" t="n">
        <v>221</v>
      </c>
      <c r="B222" s="7"/>
      <c r="C222" s="7"/>
      <c r="D222" s="7"/>
      <c r="E222" s="7"/>
      <c r="F222" s="7"/>
      <c r="G222" s="7"/>
      <c r="H222" s="7"/>
      <c r="I222" s="7"/>
    </row>
    <row r="223" customFormat="false" ht="15" hidden="false" customHeight="false" outlineLevel="0" collapsed="false">
      <c r="A223" s="2" t="n">
        <v>222</v>
      </c>
      <c r="B223" s="7"/>
      <c r="C223" s="7"/>
      <c r="D223" s="7"/>
      <c r="E223" s="7"/>
      <c r="F223" s="7"/>
      <c r="G223" s="7"/>
      <c r="H223" s="7"/>
      <c r="I223" s="7"/>
    </row>
    <row r="224" customFormat="false" ht="15" hidden="false" customHeight="false" outlineLevel="0" collapsed="false">
      <c r="A224" s="2" t="n">
        <v>223</v>
      </c>
      <c r="B224" s="7"/>
      <c r="C224" s="7"/>
      <c r="D224" s="7"/>
      <c r="E224" s="7"/>
      <c r="F224" s="7"/>
      <c r="G224" s="7"/>
      <c r="H224" s="7"/>
      <c r="I224" s="7"/>
    </row>
    <row r="225" customFormat="false" ht="15" hidden="false" customHeight="false" outlineLevel="0" collapsed="false">
      <c r="A225" s="2" t="n">
        <v>224</v>
      </c>
      <c r="B225" s="7"/>
      <c r="C225" s="7"/>
      <c r="D225" s="7"/>
      <c r="E225" s="7"/>
      <c r="F225" s="7"/>
      <c r="G225" s="7"/>
      <c r="H225" s="7"/>
      <c r="I225" s="7"/>
    </row>
    <row r="226" customFormat="false" ht="15" hidden="false" customHeight="false" outlineLevel="0" collapsed="false">
      <c r="A226" s="2" t="n">
        <v>225</v>
      </c>
      <c r="B226" s="7"/>
      <c r="C226" s="7"/>
      <c r="D226" s="7"/>
      <c r="E226" s="7"/>
      <c r="F226" s="7"/>
      <c r="G226" s="7"/>
      <c r="H226" s="7"/>
      <c r="I226" s="7"/>
    </row>
    <row r="227" customFormat="false" ht="15" hidden="false" customHeight="false" outlineLevel="0" collapsed="false">
      <c r="A227" s="2" t="n">
        <v>226</v>
      </c>
      <c r="B227" s="7"/>
      <c r="C227" s="7"/>
      <c r="D227" s="7"/>
      <c r="E227" s="7"/>
      <c r="F227" s="7"/>
      <c r="G227" s="7"/>
      <c r="H227" s="7"/>
      <c r="I227" s="7"/>
    </row>
    <row r="228" customFormat="false" ht="15" hidden="false" customHeight="false" outlineLevel="0" collapsed="false">
      <c r="A228" s="2" t="n">
        <v>227</v>
      </c>
      <c r="B228" s="7"/>
      <c r="C228" s="7"/>
      <c r="D228" s="7"/>
      <c r="E228" s="7"/>
      <c r="F228" s="7"/>
      <c r="G228" s="7"/>
      <c r="H228" s="7"/>
      <c r="I228" s="7"/>
    </row>
    <row r="229" customFormat="false" ht="15" hidden="false" customHeight="false" outlineLevel="0" collapsed="false">
      <c r="A229" s="2" t="n">
        <v>228</v>
      </c>
      <c r="B229" s="7"/>
      <c r="C229" s="7"/>
      <c r="D229" s="7"/>
      <c r="E229" s="7"/>
      <c r="F229" s="7"/>
      <c r="G229" s="7"/>
      <c r="H229" s="7"/>
      <c r="I229" s="7"/>
    </row>
    <row r="230" customFormat="false" ht="15" hidden="false" customHeight="false" outlineLevel="0" collapsed="false">
      <c r="A230" s="2" t="n">
        <v>229</v>
      </c>
      <c r="B230" s="7"/>
      <c r="C230" s="7"/>
      <c r="D230" s="7"/>
      <c r="E230" s="7"/>
      <c r="F230" s="7"/>
      <c r="G230" s="7"/>
      <c r="H230" s="7"/>
      <c r="I230" s="7"/>
    </row>
    <row r="231" customFormat="false" ht="15" hidden="false" customHeight="false" outlineLevel="0" collapsed="false">
      <c r="A231" s="2" t="n">
        <v>230</v>
      </c>
      <c r="B231" s="7"/>
      <c r="C231" s="7"/>
      <c r="D231" s="7"/>
      <c r="E231" s="7"/>
      <c r="F231" s="7"/>
      <c r="G231" s="7"/>
      <c r="H231" s="7"/>
      <c r="I231" s="7"/>
    </row>
    <row r="232" customFormat="false" ht="15" hidden="false" customHeight="false" outlineLevel="0" collapsed="false">
      <c r="A232" s="2" t="n">
        <v>231</v>
      </c>
      <c r="B232" s="7"/>
      <c r="C232" s="7"/>
      <c r="D232" s="7"/>
      <c r="E232" s="7"/>
      <c r="F232" s="7"/>
      <c r="G232" s="7"/>
      <c r="H232" s="7"/>
      <c r="I232" s="7"/>
    </row>
    <row r="233" customFormat="false" ht="15" hidden="false" customHeight="false" outlineLevel="0" collapsed="false">
      <c r="A233" s="2" t="n">
        <v>232</v>
      </c>
      <c r="B233" s="7"/>
      <c r="C233" s="7"/>
      <c r="D233" s="7"/>
      <c r="E233" s="7"/>
      <c r="F233" s="7"/>
      <c r="G233" s="7"/>
      <c r="H233" s="7"/>
      <c r="I233" s="7"/>
    </row>
    <row r="234" customFormat="false" ht="15" hidden="false" customHeight="false" outlineLevel="0" collapsed="false">
      <c r="A234" s="2" t="n">
        <v>233</v>
      </c>
      <c r="B234" s="7"/>
      <c r="C234" s="7"/>
      <c r="D234" s="7"/>
      <c r="E234" s="7"/>
      <c r="F234" s="7"/>
      <c r="G234" s="7"/>
      <c r="H234" s="7"/>
      <c r="I234" s="7"/>
    </row>
    <row r="235" customFormat="false" ht="15" hidden="false" customHeight="false" outlineLevel="0" collapsed="false">
      <c r="A235" s="2" t="n">
        <v>234</v>
      </c>
      <c r="B235" s="7"/>
      <c r="C235" s="7"/>
      <c r="D235" s="7"/>
      <c r="E235" s="7"/>
      <c r="F235" s="7"/>
      <c r="G235" s="7"/>
      <c r="H235" s="7"/>
      <c r="I235" s="7"/>
    </row>
    <row r="236" customFormat="false" ht="15" hidden="false" customHeight="false" outlineLevel="0" collapsed="false">
      <c r="A236" s="2" t="n">
        <v>235</v>
      </c>
      <c r="B236" s="7"/>
      <c r="C236" s="7"/>
      <c r="D236" s="7"/>
      <c r="E236" s="7"/>
      <c r="F236" s="7"/>
      <c r="G236" s="7"/>
      <c r="H236" s="7"/>
      <c r="I236" s="7"/>
    </row>
    <row r="237" customFormat="false" ht="15" hidden="false" customHeight="false" outlineLevel="0" collapsed="false">
      <c r="A237" s="2" t="n">
        <v>236</v>
      </c>
      <c r="B237" s="7"/>
      <c r="C237" s="7"/>
      <c r="D237" s="7"/>
      <c r="E237" s="7"/>
      <c r="F237" s="7"/>
      <c r="G237" s="7"/>
      <c r="H237" s="7"/>
      <c r="I237" s="7"/>
    </row>
    <row r="238" customFormat="false" ht="15" hidden="false" customHeight="false" outlineLevel="0" collapsed="false">
      <c r="A238" s="2" t="n">
        <v>237</v>
      </c>
      <c r="B238" s="7"/>
      <c r="C238" s="7"/>
      <c r="D238" s="7"/>
      <c r="E238" s="7"/>
      <c r="F238" s="7"/>
      <c r="G238" s="7"/>
      <c r="H238" s="7"/>
      <c r="I238" s="7"/>
    </row>
    <row r="239" customFormat="false" ht="15" hidden="false" customHeight="false" outlineLevel="0" collapsed="false">
      <c r="A239" s="2" t="n">
        <v>238</v>
      </c>
      <c r="B239" s="7"/>
      <c r="C239" s="7"/>
      <c r="D239" s="7"/>
      <c r="E239" s="7"/>
      <c r="F239" s="7"/>
      <c r="G239" s="7"/>
      <c r="H239" s="7"/>
      <c r="I239" s="7"/>
    </row>
    <row r="240" customFormat="false" ht="15" hidden="false" customHeight="false" outlineLevel="0" collapsed="false">
      <c r="A240" s="2" t="n">
        <v>239</v>
      </c>
      <c r="B240" s="7"/>
      <c r="C240" s="7"/>
      <c r="D240" s="7"/>
      <c r="E240" s="7"/>
      <c r="F240" s="7"/>
      <c r="G240" s="7"/>
      <c r="H240" s="7"/>
      <c r="I240" s="7"/>
    </row>
    <row r="241" customFormat="false" ht="15" hidden="false" customHeight="false" outlineLevel="0" collapsed="false">
      <c r="A241" s="2" t="n">
        <v>240</v>
      </c>
      <c r="B241" s="7"/>
      <c r="C241" s="7"/>
      <c r="D241" s="7"/>
      <c r="E241" s="7"/>
      <c r="F241" s="7"/>
      <c r="G241" s="7"/>
      <c r="H241" s="7"/>
      <c r="I241" s="7"/>
    </row>
    <row r="242" customFormat="false" ht="15" hidden="false" customHeight="false" outlineLevel="0" collapsed="false">
      <c r="A242" s="2" t="n">
        <v>241</v>
      </c>
      <c r="B242" s="7"/>
      <c r="C242" s="7"/>
      <c r="D242" s="7"/>
      <c r="E242" s="7"/>
      <c r="F242" s="7"/>
      <c r="G242" s="7"/>
      <c r="H242" s="7"/>
      <c r="I242" s="7"/>
    </row>
    <row r="243" customFormat="false" ht="15" hidden="false" customHeight="false" outlineLevel="0" collapsed="false">
      <c r="A243" s="2" t="n">
        <v>242</v>
      </c>
      <c r="B243" s="7"/>
      <c r="C243" s="7"/>
      <c r="D243" s="7"/>
      <c r="E243" s="7"/>
      <c r="F243" s="7"/>
      <c r="G243" s="7"/>
      <c r="H243" s="7"/>
      <c r="I243" s="7"/>
    </row>
    <row r="244" customFormat="false" ht="15" hidden="false" customHeight="false" outlineLevel="0" collapsed="false">
      <c r="A244" s="2" t="n">
        <v>243</v>
      </c>
      <c r="B244" s="7"/>
      <c r="C244" s="7"/>
      <c r="D244" s="7"/>
      <c r="E244" s="7"/>
      <c r="F244" s="7"/>
      <c r="G244" s="7"/>
      <c r="H244" s="7"/>
      <c r="I244" s="7"/>
    </row>
    <row r="245" customFormat="false" ht="15" hidden="false" customHeight="false" outlineLevel="0" collapsed="false">
      <c r="A245" s="2" t="n">
        <v>244</v>
      </c>
      <c r="B245" s="7"/>
      <c r="C245" s="7"/>
      <c r="D245" s="7"/>
      <c r="E245" s="7"/>
      <c r="F245" s="7"/>
      <c r="G245" s="7"/>
      <c r="H245" s="7"/>
      <c r="I245" s="7"/>
    </row>
    <row r="246" customFormat="false" ht="15" hidden="false" customHeight="false" outlineLevel="0" collapsed="false">
      <c r="A246" s="2" t="n">
        <v>245</v>
      </c>
      <c r="B246" s="7"/>
      <c r="C246" s="7"/>
      <c r="D246" s="7"/>
      <c r="E246" s="7"/>
      <c r="F246" s="7"/>
      <c r="G246" s="7"/>
      <c r="H246" s="7"/>
      <c r="I246" s="7"/>
    </row>
    <row r="247" customFormat="false" ht="15" hidden="false" customHeight="false" outlineLevel="0" collapsed="false">
      <c r="A247" s="2" t="n">
        <v>246</v>
      </c>
      <c r="B247" s="7"/>
      <c r="C247" s="7"/>
      <c r="D247" s="7"/>
      <c r="E247" s="7"/>
      <c r="F247" s="7"/>
      <c r="G247" s="7"/>
      <c r="H247" s="7"/>
      <c r="I247" s="7"/>
    </row>
    <row r="248" customFormat="false" ht="15" hidden="false" customHeight="false" outlineLevel="0" collapsed="false">
      <c r="A248" s="2" t="n">
        <v>247</v>
      </c>
      <c r="B248" s="7"/>
      <c r="C248" s="7"/>
      <c r="D248" s="7"/>
      <c r="E248" s="7"/>
      <c r="F248" s="7"/>
      <c r="G248" s="7"/>
      <c r="H248" s="7"/>
      <c r="I248" s="7"/>
    </row>
    <row r="249" customFormat="false" ht="15" hidden="false" customHeight="false" outlineLevel="0" collapsed="false">
      <c r="A249" s="2" t="n">
        <v>248</v>
      </c>
      <c r="B249" s="7"/>
      <c r="C249" s="7"/>
      <c r="D249" s="7"/>
      <c r="E249" s="7"/>
      <c r="F249" s="7"/>
      <c r="G249" s="7"/>
      <c r="H249" s="7"/>
      <c r="I249" s="7"/>
    </row>
    <row r="250" customFormat="false" ht="15" hidden="false" customHeight="false" outlineLevel="0" collapsed="false">
      <c r="A250" s="2" t="n">
        <v>249</v>
      </c>
      <c r="B250" s="7"/>
      <c r="C250" s="7"/>
      <c r="D250" s="7"/>
      <c r="E250" s="7"/>
      <c r="F250" s="7"/>
      <c r="G250" s="7"/>
      <c r="H250" s="7"/>
      <c r="I250" s="7"/>
    </row>
    <row r="251" customFormat="false" ht="15" hidden="false" customHeight="false" outlineLevel="0" collapsed="false">
      <c r="A251" s="2" t="n">
        <v>250</v>
      </c>
      <c r="B251" s="7"/>
      <c r="C251" s="7"/>
      <c r="D251" s="7"/>
      <c r="E251" s="7"/>
      <c r="F251" s="7"/>
      <c r="G251" s="7"/>
      <c r="H251" s="7"/>
      <c r="I251" s="7"/>
    </row>
    <row r="252" customFormat="false" ht="15" hidden="false" customHeight="false" outlineLevel="0" collapsed="false">
      <c r="A252" s="2" t="n">
        <v>251</v>
      </c>
      <c r="B252" s="7"/>
      <c r="C252" s="7"/>
      <c r="D252" s="7"/>
      <c r="E252" s="7"/>
      <c r="F252" s="7"/>
      <c r="G252" s="7"/>
      <c r="H252" s="7"/>
      <c r="I252" s="7"/>
    </row>
    <row r="253" customFormat="false" ht="15" hidden="false" customHeight="false" outlineLevel="0" collapsed="false">
      <c r="A253" s="2" t="n">
        <v>252</v>
      </c>
      <c r="B253" s="7"/>
      <c r="C253" s="7"/>
      <c r="D253" s="7"/>
      <c r="E253" s="7"/>
      <c r="F253" s="7"/>
      <c r="G253" s="7"/>
      <c r="H253" s="7"/>
      <c r="I253" s="7"/>
    </row>
    <row r="254" customFormat="false" ht="15" hidden="false" customHeight="false" outlineLevel="0" collapsed="false">
      <c r="A254" s="2" t="n">
        <v>253</v>
      </c>
      <c r="B254" s="7"/>
      <c r="C254" s="7"/>
      <c r="D254" s="7"/>
      <c r="E254" s="7"/>
      <c r="F254" s="7"/>
      <c r="G254" s="7"/>
      <c r="H254" s="7"/>
      <c r="I254" s="7"/>
    </row>
    <row r="255" customFormat="false" ht="15" hidden="false" customHeight="false" outlineLevel="0" collapsed="false">
      <c r="A255" s="2" t="n">
        <v>254</v>
      </c>
      <c r="B255" s="7"/>
      <c r="C255" s="7"/>
      <c r="D255" s="7"/>
      <c r="E255" s="7"/>
      <c r="F255" s="7"/>
      <c r="G255" s="7"/>
      <c r="H255" s="7"/>
      <c r="I255" s="7"/>
    </row>
    <row r="256" customFormat="false" ht="15" hidden="false" customHeight="false" outlineLevel="0" collapsed="false">
      <c r="A256" s="2" t="n">
        <v>255</v>
      </c>
      <c r="B256" s="7"/>
      <c r="C256" s="7"/>
      <c r="D256" s="7"/>
      <c r="E256" s="7"/>
      <c r="F256" s="7"/>
      <c r="G256" s="7"/>
      <c r="H256" s="7"/>
      <c r="I256" s="7"/>
    </row>
    <row r="257" customFormat="false" ht="15" hidden="false" customHeight="false" outlineLevel="0" collapsed="false">
      <c r="A257" s="2" t="n">
        <v>256</v>
      </c>
      <c r="B257" s="7"/>
      <c r="C257" s="7"/>
      <c r="D257" s="7"/>
      <c r="E257" s="7"/>
      <c r="F257" s="7"/>
      <c r="G257" s="7"/>
      <c r="H257" s="7"/>
      <c r="I257" s="7"/>
    </row>
    <row r="258" customFormat="false" ht="15" hidden="false" customHeight="false" outlineLevel="0" collapsed="false">
      <c r="A258" s="2" t="n">
        <v>257</v>
      </c>
      <c r="B258" s="7"/>
      <c r="C258" s="7"/>
      <c r="D258" s="7"/>
      <c r="E258" s="7"/>
      <c r="F258" s="7"/>
      <c r="G258" s="7"/>
      <c r="H258" s="7"/>
      <c r="I258" s="7"/>
    </row>
    <row r="259" customFormat="false" ht="15" hidden="false" customHeight="false" outlineLevel="0" collapsed="false">
      <c r="A259" s="2" t="n">
        <v>258</v>
      </c>
      <c r="B259" s="7"/>
      <c r="C259" s="7"/>
      <c r="D259" s="7"/>
      <c r="E259" s="7"/>
      <c r="F259" s="7"/>
      <c r="G259" s="7"/>
      <c r="H259" s="7"/>
      <c r="I259" s="7"/>
    </row>
    <row r="260" customFormat="false" ht="15" hidden="false" customHeight="false" outlineLevel="0" collapsed="false">
      <c r="A260" s="2" t="n">
        <v>259</v>
      </c>
      <c r="B260" s="7"/>
      <c r="C260" s="7"/>
      <c r="D260" s="7"/>
      <c r="E260" s="7"/>
      <c r="F260" s="7"/>
      <c r="G260" s="7"/>
      <c r="H260" s="7"/>
      <c r="I260" s="7"/>
    </row>
    <row r="261" customFormat="false" ht="15" hidden="false" customHeight="false" outlineLevel="0" collapsed="false">
      <c r="A261" s="2" t="n">
        <v>260</v>
      </c>
      <c r="B261" s="7"/>
      <c r="C261" s="7"/>
      <c r="D261" s="7"/>
      <c r="E261" s="7"/>
      <c r="F261" s="7"/>
      <c r="G261" s="7"/>
      <c r="H261" s="7"/>
      <c r="I261" s="7"/>
    </row>
    <row r="262" customFormat="false" ht="15" hidden="false" customHeight="false" outlineLevel="0" collapsed="false">
      <c r="A262" s="2" t="n">
        <v>261</v>
      </c>
      <c r="B262" s="7"/>
      <c r="C262" s="7"/>
      <c r="D262" s="7"/>
      <c r="E262" s="7"/>
      <c r="F262" s="7"/>
      <c r="G262" s="7"/>
      <c r="H262" s="7"/>
      <c r="I262" s="7"/>
    </row>
    <row r="263" customFormat="false" ht="15" hidden="false" customHeight="false" outlineLevel="0" collapsed="false">
      <c r="A263" s="2" t="n">
        <v>262</v>
      </c>
      <c r="B263" s="7"/>
      <c r="C263" s="7"/>
      <c r="D263" s="7"/>
      <c r="E263" s="7"/>
      <c r="F263" s="7"/>
      <c r="G263" s="7"/>
      <c r="H263" s="7"/>
      <c r="I263" s="7"/>
    </row>
    <row r="264" customFormat="false" ht="15" hidden="false" customHeight="false" outlineLevel="0" collapsed="false">
      <c r="A264" s="2" t="n">
        <v>263</v>
      </c>
      <c r="B264" s="7"/>
      <c r="C264" s="7"/>
      <c r="D264" s="7"/>
      <c r="E264" s="7"/>
      <c r="F264" s="7"/>
      <c r="G264" s="7"/>
      <c r="H264" s="7"/>
      <c r="I264" s="7"/>
    </row>
    <row r="265" customFormat="false" ht="15" hidden="false" customHeight="false" outlineLevel="0" collapsed="false">
      <c r="A265" s="2" t="n">
        <v>264</v>
      </c>
      <c r="B265" s="7"/>
      <c r="C265" s="7"/>
      <c r="D265" s="7"/>
      <c r="E265" s="7"/>
      <c r="F265" s="7"/>
      <c r="G265" s="7"/>
      <c r="H265" s="7"/>
      <c r="I265" s="7"/>
    </row>
    <row r="266" customFormat="false" ht="15" hidden="false" customHeight="false" outlineLevel="0" collapsed="false">
      <c r="A266" s="2" t="n">
        <v>265</v>
      </c>
      <c r="B266" s="7"/>
      <c r="C266" s="7"/>
      <c r="D266" s="7"/>
      <c r="E266" s="7"/>
      <c r="F266" s="7"/>
      <c r="G266" s="7"/>
      <c r="H266" s="7"/>
      <c r="I266" s="7"/>
    </row>
    <row r="267" customFormat="false" ht="15" hidden="false" customHeight="false" outlineLevel="0" collapsed="false">
      <c r="A267" s="2" t="n">
        <v>266</v>
      </c>
      <c r="B267" s="7"/>
      <c r="C267" s="7"/>
      <c r="D267" s="7"/>
      <c r="E267" s="7"/>
      <c r="F267" s="7"/>
      <c r="G267" s="7"/>
      <c r="H267" s="7"/>
      <c r="I267" s="7"/>
    </row>
    <row r="268" customFormat="false" ht="15" hidden="false" customHeight="false" outlineLevel="0" collapsed="false">
      <c r="A268" s="2" t="n">
        <v>267</v>
      </c>
      <c r="B268" s="7"/>
      <c r="C268" s="7"/>
      <c r="D268" s="7"/>
      <c r="E268" s="7"/>
      <c r="F268" s="7"/>
      <c r="G268" s="7"/>
      <c r="H268" s="7"/>
      <c r="I268" s="7"/>
    </row>
    <row r="269" customFormat="false" ht="15" hidden="false" customHeight="false" outlineLevel="0" collapsed="false">
      <c r="A269" s="2" t="n">
        <v>268</v>
      </c>
      <c r="B269" s="7"/>
      <c r="C269" s="7"/>
      <c r="D269" s="7"/>
      <c r="E269" s="7"/>
      <c r="F269" s="7"/>
      <c r="G269" s="7"/>
      <c r="H269" s="7"/>
      <c r="I269" s="7"/>
    </row>
    <row r="270" customFormat="false" ht="15" hidden="false" customHeight="false" outlineLevel="0" collapsed="false">
      <c r="A270" s="2" t="n">
        <v>269</v>
      </c>
      <c r="B270" s="7"/>
      <c r="C270" s="7"/>
      <c r="D270" s="7"/>
      <c r="E270" s="7"/>
      <c r="F270" s="7"/>
      <c r="G270" s="7"/>
      <c r="H270" s="7"/>
      <c r="I270" s="7"/>
    </row>
    <row r="271" customFormat="false" ht="15" hidden="false" customHeight="false" outlineLevel="0" collapsed="false">
      <c r="A271" s="2" t="n">
        <v>270</v>
      </c>
      <c r="B271" s="7"/>
      <c r="C271" s="7"/>
      <c r="D271" s="7"/>
      <c r="E271" s="7"/>
      <c r="F271" s="7"/>
      <c r="G271" s="7"/>
      <c r="H271" s="7"/>
      <c r="I271" s="7"/>
    </row>
    <row r="272" customFormat="false" ht="15" hidden="false" customHeight="false" outlineLevel="0" collapsed="false">
      <c r="A272" s="2" t="n">
        <v>271</v>
      </c>
      <c r="B272" s="7"/>
      <c r="C272" s="7"/>
      <c r="D272" s="7"/>
      <c r="E272" s="7"/>
      <c r="F272" s="7"/>
      <c r="G272" s="7"/>
      <c r="H272" s="7"/>
      <c r="I272" s="7"/>
    </row>
    <row r="273" customFormat="false" ht="15" hidden="false" customHeight="false" outlineLevel="0" collapsed="false">
      <c r="A273" s="2" t="n">
        <v>272</v>
      </c>
      <c r="B273" s="7"/>
      <c r="C273" s="7"/>
      <c r="D273" s="7"/>
      <c r="E273" s="7"/>
      <c r="F273" s="7"/>
      <c r="G273" s="7"/>
      <c r="H273" s="7"/>
      <c r="I273" s="7"/>
    </row>
    <row r="274" customFormat="false" ht="15" hidden="false" customHeight="false" outlineLevel="0" collapsed="false">
      <c r="A274" s="2" t="n">
        <v>273</v>
      </c>
      <c r="B274" s="7"/>
      <c r="C274" s="7"/>
      <c r="D274" s="7"/>
      <c r="E274" s="7"/>
      <c r="F274" s="7"/>
      <c r="G274" s="7"/>
      <c r="H274" s="7"/>
      <c r="I274" s="7"/>
    </row>
    <row r="275" customFormat="false" ht="15" hidden="false" customHeight="false" outlineLevel="0" collapsed="false">
      <c r="A275" s="2" t="n">
        <v>274</v>
      </c>
      <c r="B275" s="7"/>
      <c r="C275" s="7"/>
      <c r="D275" s="7"/>
      <c r="E275" s="7"/>
      <c r="F275" s="7"/>
      <c r="G275" s="7"/>
      <c r="H275" s="7"/>
      <c r="I275" s="7"/>
    </row>
    <row r="276" customFormat="false" ht="15" hidden="false" customHeight="false" outlineLevel="0" collapsed="false">
      <c r="A276" s="2" t="n">
        <v>275</v>
      </c>
      <c r="B276" s="7"/>
      <c r="C276" s="7"/>
      <c r="D276" s="7"/>
      <c r="E276" s="7"/>
      <c r="F276" s="7"/>
      <c r="G276" s="7"/>
      <c r="H276" s="7"/>
      <c r="I276" s="7"/>
    </row>
    <row r="277" customFormat="false" ht="15" hidden="false" customHeight="false" outlineLevel="0" collapsed="false">
      <c r="A277" s="2" t="n">
        <v>276</v>
      </c>
      <c r="B277" s="7"/>
      <c r="C277" s="7"/>
      <c r="D277" s="7"/>
      <c r="E277" s="7"/>
      <c r="F277" s="7"/>
      <c r="G277" s="7"/>
      <c r="H277" s="7"/>
      <c r="I277" s="7"/>
    </row>
    <row r="278" customFormat="false" ht="15" hidden="false" customHeight="false" outlineLevel="0" collapsed="false">
      <c r="A278" s="2" t="n">
        <v>277</v>
      </c>
      <c r="B278" s="7"/>
      <c r="C278" s="7"/>
      <c r="D278" s="7"/>
      <c r="E278" s="7"/>
      <c r="F278" s="7"/>
      <c r="G278" s="7"/>
      <c r="H278" s="7"/>
      <c r="I278" s="7"/>
    </row>
    <row r="279" customFormat="false" ht="15" hidden="false" customHeight="false" outlineLevel="0" collapsed="false">
      <c r="A279" s="2" t="n">
        <v>278</v>
      </c>
      <c r="B279" s="7"/>
      <c r="C279" s="7"/>
      <c r="D279" s="7"/>
      <c r="E279" s="7"/>
      <c r="F279" s="7"/>
      <c r="G279" s="7"/>
      <c r="H279" s="7"/>
      <c r="I279" s="7"/>
    </row>
    <row r="280" customFormat="false" ht="15" hidden="false" customHeight="false" outlineLevel="0" collapsed="false">
      <c r="A280" s="2" t="n">
        <v>279</v>
      </c>
      <c r="B280" s="7"/>
      <c r="C280" s="7"/>
      <c r="D280" s="7"/>
      <c r="E280" s="7"/>
      <c r="F280" s="7"/>
      <c r="G280" s="7"/>
      <c r="H280" s="7"/>
      <c r="I280" s="7"/>
    </row>
    <row r="281" customFormat="false" ht="15" hidden="false" customHeight="false" outlineLevel="0" collapsed="false">
      <c r="A281" s="2" t="n">
        <v>280</v>
      </c>
      <c r="B281" s="7"/>
      <c r="C281" s="7"/>
      <c r="D281" s="7"/>
      <c r="E281" s="7"/>
      <c r="F281" s="7"/>
      <c r="G281" s="7"/>
      <c r="H281" s="7"/>
      <c r="I281" s="7"/>
    </row>
    <row r="282" customFormat="false" ht="15" hidden="false" customHeight="false" outlineLevel="0" collapsed="false">
      <c r="A282" s="2" t="n">
        <v>281</v>
      </c>
      <c r="B282" s="7"/>
      <c r="C282" s="7"/>
      <c r="D282" s="7"/>
      <c r="E282" s="7"/>
      <c r="F282" s="7"/>
      <c r="G282" s="7"/>
      <c r="H282" s="7"/>
      <c r="I282" s="7"/>
    </row>
    <row r="283" customFormat="false" ht="15" hidden="false" customHeight="false" outlineLevel="0" collapsed="false">
      <c r="A283" s="2" t="n">
        <v>282</v>
      </c>
      <c r="B283" s="7"/>
      <c r="C283" s="7"/>
      <c r="D283" s="7"/>
      <c r="E283" s="7"/>
      <c r="F283" s="7"/>
      <c r="G283" s="7"/>
      <c r="H283" s="7"/>
      <c r="I283" s="7"/>
    </row>
    <row r="284" customFormat="false" ht="15" hidden="false" customHeight="false" outlineLevel="0" collapsed="false">
      <c r="A284" s="2" t="n">
        <v>283</v>
      </c>
      <c r="B284" s="7"/>
      <c r="C284" s="7"/>
      <c r="D284" s="7"/>
      <c r="E284" s="7"/>
      <c r="F284" s="7"/>
      <c r="G284" s="7"/>
      <c r="H284" s="7"/>
      <c r="I284" s="7"/>
    </row>
    <row r="285" customFormat="false" ht="15" hidden="false" customHeight="false" outlineLevel="0" collapsed="false">
      <c r="A285" s="2" t="n">
        <v>284</v>
      </c>
      <c r="B285" s="7"/>
      <c r="C285" s="7"/>
      <c r="D285" s="7"/>
      <c r="E285" s="7"/>
      <c r="F285" s="7"/>
      <c r="G285" s="7"/>
      <c r="H285" s="7"/>
      <c r="I285" s="7"/>
    </row>
    <row r="286" customFormat="false" ht="15" hidden="false" customHeight="false" outlineLevel="0" collapsed="false">
      <c r="A286" s="2" t="n">
        <v>285</v>
      </c>
      <c r="B286" s="7"/>
      <c r="C286" s="7"/>
      <c r="D286" s="7"/>
      <c r="E286" s="7"/>
      <c r="F286" s="7"/>
      <c r="G286" s="7"/>
      <c r="H286" s="7"/>
      <c r="I286" s="7"/>
    </row>
    <row r="287" customFormat="false" ht="15" hidden="false" customHeight="false" outlineLevel="0" collapsed="false">
      <c r="A287" s="2" t="n">
        <v>286</v>
      </c>
      <c r="B287" s="7"/>
      <c r="C287" s="7"/>
      <c r="D287" s="7"/>
      <c r="E287" s="7"/>
      <c r="F287" s="7"/>
      <c r="G287" s="7"/>
      <c r="H287" s="7"/>
      <c r="I287" s="7"/>
    </row>
    <row r="288" customFormat="false" ht="15" hidden="false" customHeight="false" outlineLevel="0" collapsed="false">
      <c r="A288" s="2" t="n">
        <v>287</v>
      </c>
      <c r="B288" s="7"/>
      <c r="C288" s="7"/>
      <c r="D288" s="7"/>
      <c r="E288" s="7"/>
      <c r="F288" s="7"/>
      <c r="G288" s="7"/>
      <c r="H288" s="7"/>
      <c r="I288" s="7"/>
    </row>
    <row r="289" customFormat="false" ht="15" hidden="false" customHeight="false" outlineLevel="0" collapsed="false">
      <c r="A289" s="2" t="n">
        <v>288</v>
      </c>
      <c r="B289" s="7"/>
      <c r="C289" s="7"/>
      <c r="D289" s="7"/>
      <c r="E289" s="7"/>
      <c r="F289" s="7"/>
      <c r="G289" s="7"/>
      <c r="H289" s="7"/>
      <c r="I289" s="7"/>
    </row>
    <row r="290" customFormat="false" ht="15" hidden="false" customHeight="false" outlineLevel="0" collapsed="false">
      <c r="A290" s="2" t="n">
        <v>289</v>
      </c>
      <c r="B290" s="7"/>
      <c r="C290" s="7"/>
      <c r="D290" s="7"/>
      <c r="E290" s="7"/>
      <c r="F290" s="7"/>
      <c r="G290" s="7"/>
      <c r="H290" s="7"/>
      <c r="I290" s="7"/>
    </row>
    <row r="291" customFormat="false" ht="15" hidden="false" customHeight="false" outlineLevel="0" collapsed="false">
      <c r="A291" s="2" t="n">
        <v>290</v>
      </c>
      <c r="B291" s="7"/>
      <c r="C291" s="7"/>
      <c r="D291" s="7"/>
      <c r="E291" s="7"/>
      <c r="F291" s="7"/>
      <c r="G291" s="7"/>
      <c r="H291" s="7"/>
      <c r="I291" s="7"/>
    </row>
    <row r="292" customFormat="false" ht="15" hidden="false" customHeight="false" outlineLevel="0" collapsed="false">
      <c r="A292" s="2" t="n">
        <v>291</v>
      </c>
      <c r="B292" s="7"/>
      <c r="C292" s="7"/>
      <c r="D292" s="7"/>
      <c r="E292" s="7"/>
      <c r="F292" s="7"/>
      <c r="G292" s="7"/>
      <c r="H292" s="7"/>
      <c r="I292" s="7"/>
    </row>
    <row r="293" customFormat="false" ht="15" hidden="false" customHeight="false" outlineLevel="0" collapsed="false">
      <c r="A293" s="2" t="n">
        <v>292</v>
      </c>
      <c r="B293" s="7"/>
      <c r="C293" s="7"/>
      <c r="D293" s="7"/>
      <c r="E293" s="7"/>
      <c r="F293" s="7"/>
      <c r="G293" s="7"/>
      <c r="H293" s="7"/>
      <c r="I293" s="7"/>
    </row>
    <row r="294" customFormat="false" ht="15" hidden="false" customHeight="false" outlineLevel="0" collapsed="false">
      <c r="A294" s="2" t="n">
        <v>293</v>
      </c>
      <c r="B294" s="7"/>
      <c r="C294" s="7"/>
      <c r="D294" s="7"/>
      <c r="E294" s="7"/>
      <c r="F294" s="7"/>
      <c r="G294" s="7"/>
      <c r="H294" s="7"/>
      <c r="I294" s="7"/>
    </row>
    <row r="295" customFormat="false" ht="15" hidden="false" customHeight="false" outlineLevel="0" collapsed="false">
      <c r="A295" s="2" t="n">
        <v>294</v>
      </c>
      <c r="B295" s="7"/>
      <c r="C295" s="7"/>
      <c r="D295" s="7"/>
      <c r="E295" s="7"/>
      <c r="F295" s="7"/>
      <c r="G295" s="7"/>
      <c r="H295" s="7"/>
      <c r="I295" s="7"/>
    </row>
    <row r="296" customFormat="false" ht="15" hidden="false" customHeight="false" outlineLevel="0" collapsed="false">
      <c r="A296" s="2" t="n">
        <v>295</v>
      </c>
      <c r="B296" s="7"/>
      <c r="C296" s="7"/>
      <c r="D296" s="7"/>
      <c r="E296" s="7"/>
      <c r="F296" s="7"/>
      <c r="G296" s="7"/>
      <c r="H296" s="7"/>
      <c r="I296" s="7"/>
    </row>
    <row r="297" customFormat="false" ht="15" hidden="false" customHeight="false" outlineLevel="0" collapsed="false">
      <c r="A297" s="2" t="n">
        <v>296</v>
      </c>
      <c r="B297" s="7"/>
      <c r="C297" s="7"/>
      <c r="D297" s="7"/>
      <c r="E297" s="7"/>
      <c r="F297" s="7"/>
      <c r="G297" s="7"/>
      <c r="H297" s="7"/>
      <c r="I297" s="7"/>
    </row>
    <row r="298" customFormat="false" ht="15" hidden="false" customHeight="false" outlineLevel="0" collapsed="false">
      <c r="A298" s="2" t="n">
        <v>297</v>
      </c>
      <c r="B298" s="7"/>
      <c r="C298" s="7"/>
      <c r="D298" s="7"/>
      <c r="E298" s="7"/>
      <c r="F298" s="7"/>
      <c r="G298" s="7"/>
      <c r="H298" s="7"/>
      <c r="I298" s="7"/>
    </row>
    <row r="299" customFormat="false" ht="15" hidden="false" customHeight="false" outlineLevel="0" collapsed="false">
      <c r="A299" s="2" t="n">
        <v>298</v>
      </c>
      <c r="B299" s="7"/>
      <c r="C299" s="7"/>
      <c r="D299" s="7"/>
      <c r="E299" s="7"/>
      <c r="F299" s="7"/>
      <c r="G299" s="7"/>
      <c r="H299" s="7"/>
      <c r="I299" s="7"/>
    </row>
    <row r="300" customFormat="false" ht="15" hidden="false" customHeight="false" outlineLevel="0" collapsed="false">
      <c r="A300" s="2" t="n">
        <v>299</v>
      </c>
      <c r="B300" s="7"/>
      <c r="C300" s="7"/>
      <c r="D300" s="7"/>
      <c r="E300" s="7"/>
      <c r="F300" s="7"/>
      <c r="G300" s="7"/>
      <c r="H300" s="7"/>
      <c r="I300" s="7"/>
    </row>
    <row r="301" customFormat="false" ht="15" hidden="false" customHeight="false" outlineLevel="0" collapsed="false">
      <c r="A301" s="2" t="n">
        <v>300</v>
      </c>
      <c r="B301" s="7"/>
      <c r="C301" s="7"/>
      <c r="D301" s="7"/>
      <c r="E301" s="7"/>
      <c r="F301" s="7"/>
      <c r="G301" s="7"/>
      <c r="H301" s="7"/>
      <c r="I301" s="7"/>
    </row>
  </sheetData>
  <dataValidations count="2">
    <dataValidation allowBlank="true" errorStyle="stop" operator="between" showDropDown="false" showErrorMessage="false" showInputMessage="false" sqref="E2:E301" type="list">
      <formula1>"A,B"</formula1>
      <formula2>0</formula2>
    </dataValidation>
    <dataValidation allowBlank="true" errorStyle="stop" operator="between" showDropDown="false" showErrorMessage="false" showInputMessage="false" sqref="G2:H3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101</v>
      </c>
      <c r="B1" s="3" t="s">
        <v>102</v>
      </c>
      <c r="C1" s="3" t="s">
        <v>103</v>
      </c>
    </row>
    <row r="2" customFormat="false" ht="15" hidden="false" customHeight="false" outlineLevel="0" collapsed="false">
      <c r="A2" s="2" t="s">
        <v>104</v>
      </c>
      <c r="B2" s="2" t="n">
        <f aca="false">COUNTIFS(Outreach_Log!$E$2:$E$301,"A",Outreach_Log!$B$2:$B$301,"&lt;&gt;")</f>
        <v>1</v>
      </c>
      <c r="C2" s="2" t="n">
        <f aca="false">COUNTIFS(Outreach_Log!$E$2:$E$301,"B",Outreach_Log!$B$2:$B$301,"&lt;&gt;")</f>
        <v>0</v>
      </c>
    </row>
    <row r="3" customFormat="false" ht="15" hidden="false" customHeight="false" outlineLevel="0" collapsed="false">
      <c r="A3" s="2" t="s">
        <v>105</v>
      </c>
      <c r="B3" s="2" t="n">
        <f aca="false">COUNTIFS(Outreach_Log!$E$2:$E$301,"A",Outreach_Log!$G$2:$G$301,"Y")</f>
        <v>0</v>
      </c>
      <c r="C3" s="2" t="n">
        <f aca="false">COUNTIFS(Outreach_Log!$E$2:$E$301,"B",Outreach_Log!$G$2:$G$301,"Y")</f>
        <v>0</v>
      </c>
    </row>
    <row r="4" customFormat="false" ht="15" hidden="false" customHeight="false" outlineLevel="0" collapsed="false">
      <c r="A4" s="2" t="s">
        <v>106</v>
      </c>
      <c r="B4" s="10" t="n">
        <f aca="false">IF(B2=0,"",B3/B2)</f>
        <v>0</v>
      </c>
      <c r="C4" s="10" t="str">
        <f aca="false">IF(C2=0,"",C3/C2)</f>
        <v/>
      </c>
    </row>
    <row r="5" customFormat="false" ht="15" hidden="false" customHeight="false" outlineLevel="0" collapsed="false">
      <c r="A5" s="2" t="s">
        <v>107</v>
      </c>
      <c r="B5" s="2" t="n">
        <f aca="false">COUNTIFS(Outreach_Log!$E$2:$E$301,"A",Outreach_Log!$H$2:$H$301,"Y")</f>
        <v>0</v>
      </c>
      <c r="C5" s="2" t="n">
        <f aca="false">COUNTIFS(Outreach_Log!$E$2:$E$301,"B",Outreach_Log!$H$2:$H$301,"Y")</f>
        <v>0</v>
      </c>
    </row>
    <row r="6" customFormat="false" ht="15" hidden="false" customHeight="false" outlineLevel="0" collapsed="false">
      <c r="A6" s="2" t="s">
        <v>108</v>
      </c>
      <c r="B6" s="10" t="n">
        <f aca="false">IF(B2=0,"",B5/B2)</f>
        <v>0</v>
      </c>
      <c r="C6" s="10" t="str">
        <f aca="false">IF(C2=0,"",C5/C2)</f>
        <v/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6" t="s">
        <v>109</v>
      </c>
      <c r="B8" s="2"/>
      <c r="C8" s="2"/>
    </row>
    <row r="9" customFormat="false" ht="15" hidden="false" customHeight="false" outlineLevel="0" collapsed="false">
      <c r="A9" s="2" t="s">
        <v>110</v>
      </c>
      <c r="B9" s="10" t="n">
        <f aca="false">IF(B2+C2=0,"",(B3+C3)/(B2+C2))</f>
        <v>0</v>
      </c>
      <c r="C9" s="2"/>
    </row>
    <row r="10" customFormat="false" ht="15" hidden="false" customHeight="false" outlineLevel="0" collapsed="false">
      <c r="A10" s="2" t="s">
        <v>111</v>
      </c>
      <c r="B10" s="13" t="str">
        <f aca="false">IF(OR(B2=0,C2=0,B9=""),"",IF(OR(B9=0,B9=1),"",(B4-C4)/SQRT(B9*(1-B9)*(1/B2+1/C2))))</f>
        <v/>
      </c>
      <c r="C10" s="2"/>
    </row>
    <row r="11" customFormat="false" ht="15" hidden="false" customHeight="false" outlineLevel="0" collapsed="false">
      <c r="A11" s="2" t="s">
        <v>112</v>
      </c>
      <c r="B11" s="14" t="str">
        <f aca="false">IF(B10="","",2*(1-NORMSDIST(ABS(B10))))</f>
        <v/>
      </c>
      <c r="C11" s="2"/>
    </row>
    <row r="12" customFormat="false" ht="15" hidden="false" customHeight="false" outlineLevel="0" collapsed="false">
      <c r="A12" s="2" t="s">
        <v>113</v>
      </c>
      <c r="B12" s="2" t="str">
        <f aca="false">IF(B11="","Need sends in both variants",IF(B11&lt;0.05,"Statistically significant at 5%","Not significant - more sends needed"))</f>
        <v>Need sends in both variants</v>
      </c>
      <c r="C12" s="2"/>
    </row>
    <row r="14" customFormat="false" ht="15" hidden="false" customHeight="false" outlineLevel="0" collapsed="false">
      <c r="A14" s="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2026-10-19T04:07:17Z</dcterms:created>
  <dc:creator>openpyxl</dc:creator>
  <dc:description/>
  <dc:language>en-US</dc:language>
  <cp:lastModifiedBy/>
  <dcterms:modified xsi:type="dcterms:W3CDTF">2026-10-19T04:07:17Z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